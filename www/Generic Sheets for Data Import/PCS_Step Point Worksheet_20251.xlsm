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activeX/activeX10.xml" ContentType="application/vnd.ms-office.activeX+xml"/>
  <Override PartName="/xl/activeX/activeX1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1.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tsgil\OneDrive\Documents\VGS - R\App-VGS-Batch-Importer\www\Generic Sheets for Data Import\"/>
    </mc:Choice>
  </mc:AlternateContent>
  <xr:revisionPtr revIDLastSave="0" documentId="13_ncr:1_{00295FE8-A354-4131-A74C-191C2B933A55}" xr6:coauthVersionLast="47" xr6:coauthVersionMax="47" xr10:uidLastSave="{00000000-0000-0000-0000-000000000000}"/>
  <bookViews>
    <workbookView xWindow="-110" yWindow="-110" windowWidth="19420" windowHeight="10300" firstSheet="1" activeTab="1" xr2:uid="{00000000-000D-0000-FFFF-FFFF00000000}"/>
  </bookViews>
  <sheets>
    <sheet name="Instructions" sheetId="24" r:id="rId1"/>
    <sheet name="Form" sheetId="7" r:id="rId2"/>
    <sheet name="PCSS" sheetId="22" state="hidden" r:id="rId3"/>
    <sheet name="PCS" sheetId="23" r:id="rId4"/>
    <sheet name="PCS_Report" sheetId="12" r:id="rId5"/>
    <sheet name="Form_Reference" sheetId="6" r:id="rId6"/>
    <sheet name="Form_Data" sheetId="8" r:id="rId7"/>
  </sheets>
  <externalReferences>
    <externalReference r:id="rId8"/>
  </externalReferences>
  <definedNames>
    <definedName name="_xlnm._FilterDatabase" localSheetId="5" hidden="1">Form_Reference!$A$3:$T$292</definedName>
    <definedName name="_xlcn.WorksheetConnection_PCS_StepPointWorksheet_2020_working_02262025.xlsmTable1" hidden="1">Table1[]</definedName>
    <definedName name="_xleta.AND" hidden="1" xlm="1">#NAME?</definedName>
    <definedName name="_xleta.ARRAYTOTEXT" hidden="1" xlm="1">#NAME?</definedName>
    <definedName name="_xleta.COUNT" hidden="1" xlm="1">#NAME?</definedName>
    <definedName name="_xleta.COUNTA" hidden="1" xlm="1">#NAME?</definedName>
    <definedName name="_xleta.COUNTIF" hidden="1" xlm="1">#NAME?</definedName>
    <definedName name="_xleta.COUNTIFS" hidden="1" xlm="1">#NAME?</definedName>
    <definedName name="_xleta.IF" hidden="1" xlm="1">#NAME?</definedName>
    <definedName name="_xleta.IFERROR" hidden="1" xlm="1">#NAME?</definedName>
    <definedName name="_xleta.IFS" hidden="1" xlm="1">#NAME?</definedName>
    <definedName name="_xleta.ISERROR" hidden="1" xlm="1">#NAME?</definedName>
    <definedName name="_xleta.LEN" hidden="1" xlm="1">#NAME?</definedName>
    <definedName name="_xleta.MAX" hidden="1" xlm="1">#NAME?</definedName>
    <definedName name="_xleta.MIN" hidden="1" xlm="1">#NAME?</definedName>
    <definedName name="_xleta.OFFSET" hidden="1" xlm="1">#NAME?</definedName>
    <definedName name="_xleta.OR" hidden="1" xlm="1">#NAME?</definedName>
    <definedName name="_xleta.SUBTOTAL" hidden="1" xlm="1">#NAME?</definedName>
    <definedName name="_xleta.SUM" hidden="1" xlm="1">#NAME?</definedName>
    <definedName name="_xleta.SUMPRODUCT" hidden="1" xlm="1">#NAME?</definedName>
    <definedName name="_xleta.T" hidden="1" xlm="1">#NAME?</definedName>
    <definedName name="_xleta.TEXTJOIN" hidden="1" xlm="1">#NAME?</definedName>
    <definedName name="_xleta.TODAY" hidden="1" xlm="1">#NAME?</definedName>
    <definedName name="_xleta.UNIQUE" hidden="1" xlm="1">#NAME?</definedName>
    <definedName name="CheckListOuput" localSheetId="0">[1]Form!$E$16</definedName>
    <definedName name="CheckListOuput">Form!$E$16</definedName>
    <definedName name="CheckListOutput">Form!$E$16</definedName>
    <definedName name="_xlnm.Print_Area" localSheetId="1">Form!$A$1:$K$20</definedName>
    <definedName name="_xlnm.Print_Area" localSheetId="3">PCS!$A$1:$H$42</definedName>
    <definedName name="_xlnm.Print_Area" localSheetId="4">PCS_Report!$B$1:$L$94</definedName>
    <definedName name="_xlnm.Print_Area" localSheetId="2">PCSS!$A$1:$G$44</definedName>
  </definedNames>
  <calcPr calcId="191028"/>
  <pivotCaches>
    <pivotCache cacheId="0" r:id="rId9"/>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PCS_Step Point Worksheet_2020_working_02262025.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6" i="12" l="1"/>
  <c r="A3" i="8"/>
  <c r="H30" i="23"/>
  <c r="L18" i="12" s="1"/>
  <c r="C95" i="12"/>
  <c r="E95" i="12"/>
  <c r="F95" i="12"/>
  <c r="G95" i="12"/>
  <c r="D95" i="12" s="1"/>
  <c r="C96" i="12"/>
  <c r="E96" i="12"/>
  <c r="F96" i="12"/>
  <c r="G96" i="12"/>
  <c r="D96" i="12" s="1"/>
  <c r="G88" i="12"/>
  <c r="D88" i="12" s="1"/>
  <c r="G89" i="12"/>
  <c r="D89" i="12" s="1"/>
  <c r="G90" i="12"/>
  <c r="D90" i="12" s="1"/>
  <c r="G91" i="12"/>
  <c r="D91" i="12" s="1"/>
  <c r="G92" i="12"/>
  <c r="D92" i="12" s="1"/>
  <c r="G93" i="12"/>
  <c r="D93" i="12" s="1"/>
  <c r="G94" i="12"/>
  <c r="D94" i="12" s="1"/>
  <c r="E83" i="12"/>
  <c r="E80" i="12"/>
  <c r="E81" i="12"/>
  <c r="E82" i="12"/>
  <c r="E84" i="12"/>
  <c r="E85" i="12"/>
  <c r="E86" i="12"/>
  <c r="E87" i="12"/>
  <c r="E88" i="12"/>
  <c r="E89" i="12"/>
  <c r="E90" i="12"/>
  <c r="E91" i="12"/>
  <c r="E92" i="12"/>
  <c r="E93" i="12"/>
  <c r="E94" i="12"/>
  <c r="T82" i="12" l="1"/>
  <c r="T83" i="12"/>
  <c r="R81" i="12"/>
  <c r="R82" i="12"/>
  <c r="R83" i="12"/>
  <c r="T81" i="12"/>
  <c r="F90" i="12"/>
  <c r="F91" i="12"/>
  <c r="F92" i="12"/>
  <c r="F93" i="12"/>
  <c r="F94" i="12"/>
  <c r="C81" i="12"/>
  <c r="C82" i="12"/>
  <c r="C83" i="12"/>
  <c r="C84" i="12"/>
  <c r="C85" i="12"/>
  <c r="C86" i="12"/>
  <c r="C87" i="12"/>
  <c r="C88" i="12"/>
  <c r="C89" i="12"/>
  <c r="C90" i="12"/>
  <c r="C91" i="12"/>
  <c r="C92" i="12"/>
  <c r="C93" i="12"/>
  <c r="C94" i="12"/>
  <c r="C80" i="12"/>
  <c r="L14" i="12"/>
  <c r="L15" i="12"/>
  <c r="L16" i="12"/>
  <c r="L17" i="12"/>
  <c r="B2" i="8" l="1"/>
  <c r="B3" i="23" s="1"/>
  <c r="C19" i="7"/>
  <c r="Q2" i="8" l="1"/>
  <c r="P2" i="8"/>
  <c r="O2" i="8"/>
  <c r="L2" i="8"/>
  <c r="I2" i="8"/>
  <c r="H2" i="8"/>
  <c r="G2" i="8"/>
  <c r="K8" i="12" s="1"/>
  <c r="E2" i="8"/>
  <c r="F9" i="12" s="1"/>
  <c r="D2" i="8"/>
  <c r="C2" i="8"/>
  <c r="C7" i="12"/>
  <c r="M2" i="8"/>
  <c r="J2" i="8"/>
  <c r="H23" i="12"/>
  <c r="H22" i="12"/>
  <c r="H24" i="12"/>
  <c r="H34" i="12"/>
  <c r="H28" i="12"/>
  <c r="H32" i="12"/>
  <c r="K36" i="22"/>
  <c r="G36" i="22" s="1"/>
  <c r="J7" i="7"/>
  <c r="F2" i="8" s="1"/>
  <c r="A2" i="8"/>
  <c r="E15" i="7"/>
  <c r="I18" i="7"/>
  <c r="A4" i="7" s="1"/>
  <c r="K18" i="7"/>
  <c r="I15" i="7"/>
  <c r="O3" i="6" a="1"/>
  <c r="O3" i="6" s="1"/>
  <c r="F59" i="12" l="1"/>
  <c r="F58" i="12"/>
  <c r="F57" i="12"/>
  <c r="F56" i="12"/>
  <c r="K59" i="12"/>
  <c r="K58" i="12"/>
  <c r="K57" i="12"/>
  <c r="I9" i="12"/>
  <c r="F4" i="23"/>
  <c r="C8" i="12"/>
  <c r="B2" i="23"/>
  <c r="C9" i="12"/>
  <c r="B4" i="23"/>
  <c r="F10" i="12"/>
  <c r="F5" i="23"/>
  <c r="I10" i="12"/>
  <c r="F3" i="23"/>
  <c r="K7" i="12"/>
  <c r="F2" i="23"/>
  <c r="K2" i="8"/>
  <c r="L91" i="12" a="1"/>
  <c r="L91" i="12" s="1"/>
  <c r="L92" i="12" a="1"/>
  <c r="L92" i="12" s="1"/>
  <c r="G87" i="12"/>
  <c r="D87" i="12" s="1"/>
  <c r="J11" i="12"/>
  <c r="G86" i="12"/>
  <c r="D86" i="12" s="1"/>
  <c r="G81" i="12"/>
  <c r="D81" i="12" s="1"/>
  <c r="G85" i="12"/>
  <c r="D85" i="12" s="1"/>
  <c r="G84" i="12"/>
  <c r="D84" i="12" s="1"/>
  <c r="G83" i="12"/>
  <c r="D83" i="12" s="1"/>
  <c r="G82" i="12"/>
  <c r="D82" i="12" s="1"/>
  <c r="G80" i="12"/>
  <c r="D80" i="12" s="1"/>
  <c r="F86" i="12"/>
  <c r="F87" i="12"/>
  <c r="F88" i="12"/>
  <c r="F89" i="12"/>
  <c r="Z2" i="8"/>
  <c r="B73" i="12" s="1"/>
  <c r="F84" i="12"/>
  <c r="F85" i="12"/>
  <c r="F81" i="12"/>
  <c r="F82" i="12"/>
  <c r="F83" i="12"/>
  <c r="F80" i="12"/>
  <c r="H30" i="12"/>
  <c r="N2" i="8"/>
  <c r="G35" i="23" s="1"/>
  <c r="V2" i="8"/>
  <c r="W2" i="8"/>
  <c r="X2" i="8"/>
  <c r="Y2" i="8"/>
  <c r="R2" i="8"/>
  <c r="S2" i="8"/>
  <c r="T2" i="8"/>
  <c r="U2" i="8"/>
  <c r="H38" i="12"/>
  <c r="B4" i="12"/>
  <c r="R80" i="12" l="1"/>
  <c r="T80" i="12"/>
  <c r="K90" i="12"/>
  <c r="K89" i="12"/>
  <c r="C57" i="12"/>
  <c r="C58" i="12"/>
  <c r="C59" i="12"/>
  <c r="K87" i="12"/>
  <c r="K86" i="12"/>
  <c r="K88" i="12"/>
  <c r="C11" i="12"/>
  <c r="H12" i="23"/>
  <c r="C49" i="12"/>
  <c r="D49" i="12"/>
  <c r="E49" i="12"/>
  <c r="C48" i="12"/>
  <c r="E48" i="12"/>
  <c r="D48" i="12"/>
  <c r="C47" i="12"/>
  <c r="E47" i="12"/>
  <c r="D47" i="12"/>
  <c r="E46" i="12"/>
  <c r="D46" i="12"/>
  <c r="K84" i="12"/>
  <c r="K83" i="12"/>
  <c r="K82" i="12"/>
  <c r="K81" i="12"/>
  <c r="K80" i="12"/>
  <c r="K85" i="12"/>
  <c r="C10" i="12"/>
  <c r="C5" i="23"/>
  <c r="L93" i="12"/>
  <c r="L95" i="12"/>
  <c r="H11" i="23"/>
  <c r="L83" i="12"/>
  <c r="H10" i="23"/>
  <c r="E15" i="12" s="1"/>
  <c r="I78" i="12"/>
  <c r="L88" i="12"/>
  <c r="L87" i="12"/>
  <c r="L86" i="12"/>
  <c r="L84" i="12"/>
  <c r="L80" i="12"/>
  <c r="L81" i="12"/>
  <c r="L85" i="12"/>
  <c r="L82" i="12"/>
  <c r="L90" i="12"/>
  <c r="L89" i="12"/>
  <c r="H18" i="23"/>
  <c r="E16" i="12" l="1"/>
  <c r="K93" i="12"/>
  <c r="K95" i="12"/>
  <c r="E18" i="12"/>
  <c r="Q81" i="12"/>
  <c r="S81" i="12"/>
  <c r="S82" i="12"/>
  <c r="Q82" i="12"/>
  <c r="Q83" i="12"/>
  <c r="H9" i="23"/>
  <c r="E14" i="12" s="1"/>
  <c r="H26" i="12" s="1"/>
  <c r="S83" i="12"/>
  <c r="Q80" i="12"/>
  <c r="S80" i="12"/>
  <c r="T84" i="12" l="1"/>
  <c r="K96" i="12" s="1"/>
  <c r="H33" i="12"/>
  <c r="S84" i="12"/>
  <c r="L96" i="12" s="1"/>
  <c r="Q84" i="12"/>
  <c r="L94" i="12" s="1"/>
  <c r="K16" i="23" s="1" a="1"/>
  <c r="K16" i="23" s="1"/>
  <c r="R84" i="12"/>
  <c r="K94" i="12" s="1"/>
  <c r="K15" i="23" l="1" a="1"/>
  <c r="K15" i="23" s="1"/>
  <c r="K12" i="23" a="1"/>
  <c r="K12" i="23" s="1"/>
  <c r="K14" i="23" a="1"/>
  <c r="K14" i="23" s="1"/>
  <c r="K13" i="23" a="1"/>
  <c r="K13" i="23" s="1"/>
  <c r="H27" i="12"/>
  <c r="H39" i="12" s="1"/>
  <c r="E17" i="12" l="1"/>
  <c r="H35" i="12" s="1"/>
  <c r="H36"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victor.shelton</author>
  </authors>
  <commentList>
    <comment ref="M1" authorId="0" shapeId="0" xr:uid="{02C1D2B3-44C9-4873-855E-49C20E1ACA40}">
      <text>
        <r>
          <rPr>
            <sz val="9"/>
            <color indexed="81"/>
            <rFont val="Tahoma"/>
            <family val="2"/>
          </rPr>
          <t xml:space="preserve">Desirable species are adapted to the site, readily consumed, good quality, and generally grazed/browsed first.
Intermediate species are adapted to the site, but either lose quality fast, or typically only eaten during specific periods or stages.
Undesirable species are typically not eaten and rejected or avoided by most livestock and may cause undesirable side effects when eaten or have no forage value.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2B3BA83-4E9F-4A50-B255-62C3F2E186C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D079B0D-73A6-42C9-9428-EE57134A278C}" name="WorksheetConnection_PCS_Step Point Worksheet_2020_working_02262025.xlsm!Table1" type="102" refreshedVersion="8" minRefreshableVersion="5">
    <extLst>
      <ext xmlns:x15="http://schemas.microsoft.com/office/spreadsheetml/2010/11/main" uri="{DE250136-89BD-433C-8126-D09CA5730AF9}">
        <x15:connection id="Table1" autoDelete="1">
          <x15:rangePr sourceName="_xlcn.WorksheetConnection_PCS_StepPointWorksheet_2020_working_02262025.xlsmTable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<sst xmlns="http://schemas.openxmlformats.org/spreadsheetml/2006/main" count="3913" uniqueCount="1282">
  <si>
    <t>Date:</t>
  </si>
  <si>
    <t>A</t>
  </si>
  <si>
    <t>D</t>
  </si>
  <si>
    <t>N</t>
  </si>
  <si>
    <t>No Cover</t>
  </si>
  <si>
    <t>Residue or Litter</t>
  </si>
  <si>
    <t>Stone or rock</t>
  </si>
  <si>
    <t>Bare ground</t>
  </si>
  <si>
    <t>Other cover</t>
  </si>
  <si>
    <t>Desirable</t>
  </si>
  <si>
    <t>Intermediate</t>
  </si>
  <si>
    <t>Undesirable</t>
  </si>
  <si>
    <t>Forb</t>
  </si>
  <si>
    <t>None</t>
  </si>
  <si>
    <t>SCAR7</t>
  </si>
  <si>
    <t>DAGL</t>
  </si>
  <si>
    <t>DISA</t>
  </si>
  <si>
    <t>TRPR2</t>
  </si>
  <si>
    <t>DACA6</t>
  </si>
  <si>
    <t>JUNCU</t>
  </si>
  <si>
    <t>species ID</t>
  </si>
  <si>
    <t>sciName</t>
  </si>
  <si>
    <t>commonName</t>
  </si>
  <si>
    <t>family</t>
  </si>
  <si>
    <t>lifespan</t>
  </si>
  <si>
    <t>functype</t>
  </si>
  <si>
    <t>native</t>
  </si>
  <si>
    <t>Cattle preference</t>
  </si>
  <si>
    <t>Sheep preference</t>
  </si>
  <si>
    <t>Horse preference</t>
  </si>
  <si>
    <t>Goat preference</t>
  </si>
  <si>
    <t>Notes</t>
  </si>
  <si>
    <t>AGRIM</t>
  </si>
  <si>
    <t>Agrimonia</t>
  </si>
  <si>
    <t>Rosaceae</t>
  </si>
  <si>
    <t>NA</t>
  </si>
  <si>
    <t>Both</t>
  </si>
  <si>
    <t>MESA</t>
  </si>
  <si>
    <t>Medicago sativa</t>
  </si>
  <si>
    <t>Fabaceae</t>
  </si>
  <si>
    <t>Perennial</t>
  </si>
  <si>
    <t>Legume</t>
  </si>
  <si>
    <t>Introduced</t>
  </si>
  <si>
    <t>Alfalfa, Branched Root</t>
  </si>
  <si>
    <t>MESAF</t>
  </si>
  <si>
    <t>Medicago sativa falcata</t>
  </si>
  <si>
    <t>HEAL</t>
  </si>
  <si>
    <t>Hedysarum alpinum</t>
  </si>
  <si>
    <t>Native</t>
  </si>
  <si>
    <t>slightly toxic</t>
  </si>
  <si>
    <t>AMSP</t>
  </si>
  <si>
    <t>Amaranthus spinosus</t>
  </si>
  <si>
    <t>Amaranthaceae</t>
  </si>
  <si>
    <t>Annual</t>
  </si>
  <si>
    <t>GLLE3</t>
  </si>
  <si>
    <t>Glycyrrhiza lepidota</t>
  </si>
  <si>
    <t>FRAXI</t>
  </si>
  <si>
    <t>Fraxinus</t>
  </si>
  <si>
    <t>Oleaceae</t>
  </si>
  <si>
    <t>Woody</t>
  </si>
  <si>
    <t>ELUM</t>
  </si>
  <si>
    <t>Elaeagnus umbellata</t>
  </si>
  <si>
    <t>Elaeagnaceae</t>
  </si>
  <si>
    <t>PANO2</t>
  </si>
  <si>
    <t>Paspalum notatum</t>
  </si>
  <si>
    <t>Poaceae</t>
  </si>
  <si>
    <t>WSGrass</t>
  </si>
  <si>
    <t>BECA2</t>
  </si>
  <si>
    <t>Berberis canadensis</t>
  </si>
  <si>
    <t>Berberidaceaea</t>
  </si>
  <si>
    <t>ECCR</t>
  </si>
  <si>
    <t>Echinochloa crus-galli</t>
  </si>
  <si>
    <t>VIFA</t>
  </si>
  <si>
    <t>Vicia faba</t>
  </si>
  <si>
    <t xml:space="preserve">Bean, Faba </t>
  </si>
  <si>
    <t>VIRA4</t>
  </si>
  <si>
    <t>Vigna radiata</t>
  </si>
  <si>
    <t>Bean, Mung</t>
  </si>
  <si>
    <t>BEVU2</t>
  </si>
  <si>
    <t>Beta vulgaris L.</t>
  </si>
  <si>
    <t>Beets/Chard</t>
  </si>
  <si>
    <t>Chenopodiaceae</t>
  </si>
  <si>
    <t>AGCA5</t>
  </si>
  <si>
    <t>Agrostis capillaris</t>
  </si>
  <si>
    <t>CSGrass</t>
  </si>
  <si>
    <t>AGST2</t>
  </si>
  <si>
    <t>Agrostis stolonifera</t>
  </si>
  <si>
    <t>CYDA</t>
  </si>
  <si>
    <t>Cynodon dactylon</t>
  </si>
  <si>
    <t>CALYS</t>
  </si>
  <si>
    <t>Calystegia</t>
  </si>
  <si>
    <t>Convulvulaceae</t>
  </si>
  <si>
    <t>Vine</t>
  </si>
  <si>
    <t>VIPR</t>
  </si>
  <si>
    <t>Viburnum prunifolium</t>
  </si>
  <si>
    <t>Caprifoliaceae</t>
  </si>
  <si>
    <t xml:space="preserve">VACCI </t>
  </si>
  <si>
    <t>Vaccinium</t>
  </si>
  <si>
    <t>Ericaceae</t>
  </si>
  <si>
    <t>POAN</t>
  </si>
  <si>
    <t>Poa annua</t>
  </si>
  <si>
    <t>POCO</t>
  </si>
  <si>
    <t>Poa compressa</t>
  </si>
  <si>
    <t>POPR</t>
  </si>
  <si>
    <t>Poa pratensis</t>
  </si>
  <si>
    <t>POTR2</t>
  </si>
  <si>
    <t>Poa trivialis</t>
  </si>
  <si>
    <t>CACA4</t>
  </si>
  <si>
    <t>Calamagrostis canadensis</t>
  </si>
  <si>
    <t>ANGE</t>
  </si>
  <si>
    <t>Andropogon gerardii</t>
  </si>
  <si>
    <t>SCSC</t>
  </si>
  <si>
    <t>Schizachyrium scoparium</t>
  </si>
  <si>
    <t>RUBUS</t>
  </si>
  <si>
    <t>Rubus</t>
  </si>
  <si>
    <t>BRASS</t>
  </si>
  <si>
    <t>Brassica</t>
  </si>
  <si>
    <t>Brassicaceae</t>
  </si>
  <si>
    <t>BRTE</t>
  </si>
  <si>
    <t>Bromus tectorum</t>
  </si>
  <si>
    <t>BRCA6</t>
  </si>
  <si>
    <t>Bromus catharticus</t>
  </si>
  <si>
    <t>BRRA2</t>
  </si>
  <si>
    <t>Bromus racemosus</t>
  </si>
  <si>
    <t>BRIN2</t>
  </si>
  <si>
    <t>Bromus inermis</t>
  </si>
  <si>
    <t>ANVI2</t>
  </si>
  <si>
    <t>Andropogon virginicus</t>
  </si>
  <si>
    <t>CECU</t>
  </si>
  <si>
    <t>Ceanothus cuneatus</t>
  </si>
  <si>
    <t>Rhamnaceae</t>
  </si>
  <si>
    <t>ERIOG</t>
  </si>
  <si>
    <t>Eriogonum Michx</t>
  </si>
  <si>
    <t>Buckwheat</t>
  </si>
  <si>
    <t>Polygonaceae</t>
  </si>
  <si>
    <t>SORO</t>
  </si>
  <si>
    <t>Solanum rostratum</t>
  </si>
  <si>
    <t>Solanaceae</t>
  </si>
  <si>
    <t>poisonous</t>
  </si>
  <si>
    <t>DEIL</t>
  </si>
  <si>
    <t>Desmanthus illinoensis</t>
  </si>
  <si>
    <t>ARCTI</t>
  </si>
  <si>
    <t>Arctium</t>
  </si>
  <si>
    <t>Asteraceae</t>
  </si>
  <si>
    <t>Biennial</t>
  </si>
  <si>
    <t>DIERV</t>
  </si>
  <si>
    <t>Diervilla spp.</t>
  </si>
  <si>
    <t>RANUN</t>
  </si>
  <si>
    <t>Ranunculus</t>
  </si>
  <si>
    <t>Ranunculaceae</t>
  </si>
  <si>
    <t>BRCA30</t>
  </si>
  <si>
    <t xml:space="preserve">Brassica carinata </t>
  </si>
  <si>
    <t>Cabbage, African (Ethiopian)</t>
  </si>
  <si>
    <t>CASA2</t>
  </si>
  <si>
    <t>Camelina sativa</t>
  </si>
  <si>
    <t>Camelina</t>
  </si>
  <si>
    <t>ASCA11</t>
  </si>
  <si>
    <t>Astragalus canadensis</t>
  </si>
  <si>
    <t>BRNA</t>
  </si>
  <si>
    <t>Brassica napus</t>
  </si>
  <si>
    <t>AXFI</t>
  </si>
  <si>
    <t>Axonopus fissifolius</t>
  </si>
  <si>
    <t>MOVE</t>
  </si>
  <si>
    <t>Mollugo verticillata</t>
  </si>
  <si>
    <t>Molluginaceae</t>
  </si>
  <si>
    <t>Daucus carota</t>
  </si>
  <si>
    <t>Apiaceae</t>
  </si>
  <si>
    <t>JUNIP</t>
  </si>
  <si>
    <t>Juniperus</t>
  </si>
  <si>
    <t>Cupressaceae</t>
  </si>
  <si>
    <t>JUVI</t>
  </si>
  <si>
    <t>Juniperus virginiana</t>
  </si>
  <si>
    <t>BRSE</t>
  </si>
  <si>
    <t>Bromus secalinus</t>
  </si>
  <si>
    <t>PRSE2</t>
  </si>
  <si>
    <t>Prunus serotina</t>
  </si>
  <si>
    <t>glycosides possible</t>
  </si>
  <si>
    <t>CIAR5</t>
  </si>
  <si>
    <t>Cicer arietinum L.</t>
  </si>
  <si>
    <t>Chickpea</t>
  </si>
  <si>
    <t>STME2</t>
  </si>
  <si>
    <t>Stellaria media</t>
  </si>
  <si>
    <t>Caryophyllaceae</t>
  </si>
  <si>
    <t>STPU</t>
  </si>
  <si>
    <t>Stellaria pubera</t>
  </si>
  <si>
    <t>CIIN</t>
  </si>
  <si>
    <t>Cichorium intybus</t>
  </si>
  <si>
    <t>TRHY</t>
  </si>
  <si>
    <t>Trifolium hybridum</t>
  </si>
  <si>
    <t>TRVE</t>
  </si>
  <si>
    <t>Trifolium vesiculosum</t>
  </si>
  <si>
    <t>TRMIB2</t>
  </si>
  <si>
    <t>Trifolium michelianum Savi</t>
  </si>
  <si>
    <t xml:space="preserve">Clover, Balansa  </t>
  </si>
  <si>
    <t>TRNI3</t>
  </si>
  <si>
    <t>Trifolium nigrescens</t>
  </si>
  <si>
    <t>TRAL6</t>
  </si>
  <si>
    <t>Trifolium alexandrinum</t>
  </si>
  <si>
    <t>Clover, Berseem</t>
  </si>
  <si>
    <t>TRIN3</t>
  </si>
  <si>
    <t>Trifolium ambiguum</t>
  </si>
  <si>
    <t>TRCA5</t>
  </si>
  <si>
    <t>Trifolium campestre</t>
  </si>
  <si>
    <t>TRAU2</t>
  </si>
  <si>
    <t>Trifolium aureum</t>
  </si>
  <si>
    <t>TRRE4</t>
  </si>
  <si>
    <t>Trifolium resupinatum L.</t>
  </si>
  <si>
    <t>Clover, Persian</t>
  </si>
  <si>
    <t>TRAR4</t>
  </si>
  <si>
    <t>Trifolium arvense</t>
  </si>
  <si>
    <t>Trifolium pratense</t>
  </si>
  <si>
    <t>TRSU3</t>
  </si>
  <si>
    <t>Trifolium subterraneum</t>
  </si>
  <si>
    <t>TRRE3</t>
  </si>
  <si>
    <t>Trifolium repens</t>
  </si>
  <si>
    <t>XAST</t>
  </si>
  <si>
    <t>Xanthium strumarium</t>
  </si>
  <si>
    <t>poisonous at 2 leaf stage</t>
  </si>
  <si>
    <t>HOVU</t>
  </si>
  <si>
    <t>Hordeum vulgare</t>
  </si>
  <si>
    <t>ZEMA</t>
  </si>
  <si>
    <t>Zea mays</t>
  </si>
  <si>
    <t>DIGIT2</t>
  </si>
  <si>
    <t>Digitaria spp.</t>
  </si>
  <si>
    <t>Digitaria sanguinalis</t>
  </si>
  <si>
    <t>DIIS</t>
  </si>
  <si>
    <t>Digitaria ischaemum</t>
  </si>
  <si>
    <t>VEOC</t>
  </si>
  <si>
    <t>Verbesina occidentalis</t>
  </si>
  <si>
    <t>GNAPH</t>
  </si>
  <si>
    <t>Gnaphalium</t>
  </si>
  <si>
    <t>LEVU</t>
  </si>
  <si>
    <t>Leucanthemum vulgare</t>
  </si>
  <si>
    <t>PADI3</t>
  </si>
  <si>
    <t>Paspalum dilatatum</t>
  </si>
  <si>
    <t>TAOF</t>
  </si>
  <si>
    <t>Taraxacum officinale</t>
  </si>
  <si>
    <t>DICL</t>
  </si>
  <si>
    <t>Dichanthelium clandestinum</t>
  </si>
  <si>
    <t>TRLA30</t>
  </si>
  <si>
    <t>Tragopogon lamottei</t>
  </si>
  <si>
    <t>Desirablesbeard</t>
  </si>
  <si>
    <t>RUOB</t>
  </si>
  <si>
    <t>Rumex obtusifolius</t>
  </si>
  <si>
    <t>RUCR</t>
  </si>
  <si>
    <t>Rumex crispus</t>
  </si>
  <si>
    <t>EUCA5</t>
  </si>
  <si>
    <t>Eupatorium capillifolium</t>
  </si>
  <si>
    <t>SPHE</t>
  </si>
  <si>
    <t>Sporobolus heterolepis</t>
  </si>
  <si>
    <t>Dropseed, Prairie</t>
  </si>
  <si>
    <t>AMNA</t>
  </si>
  <si>
    <t>Amorpha nana</t>
  </si>
  <si>
    <t>ULAL</t>
  </si>
  <si>
    <t>Ulmus alata</t>
  </si>
  <si>
    <t>Ulmaceae</t>
  </si>
  <si>
    <t>SCPR4</t>
  </si>
  <si>
    <t>Schedonorus pratensis</t>
  </si>
  <si>
    <t>Festuca pratensis</t>
  </si>
  <si>
    <t>Fescue, Meadow</t>
  </si>
  <si>
    <t>Graminoid</t>
  </si>
  <si>
    <t>VUMY</t>
  </si>
  <si>
    <t>Vulpia myuros</t>
  </si>
  <si>
    <t>FERU2</t>
  </si>
  <si>
    <t>Festuca rubra</t>
  </si>
  <si>
    <t>Schedonorus arundinaceus</t>
  </si>
  <si>
    <t>Fescue, Tall (Novel, Endophyte Friendly)</t>
  </si>
  <si>
    <t>FESTU2</t>
  </si>
  <si>
    <t>Festulolium</t>
  </si>
  <si>
    <t>ASAG2</t>
  </si>
  <si>
    <t>Astragalus agrestis</t>
  </si>
  <si>
    <t>LIUS</t>
  </si>
  <si>
    <t>Linum usitatissimum</t>
  </si>
  <si>
    <t>Flax</t>
  </si>
  <si>
    <t>Linaceae</t>
  </si>
  <si>
    <t>SEFA</t>
  </si>
  <si>
    <t>Setaria faberi</t>
  </si>
  <si>
    <t>ALPR3</t>
  </si>
  <si>
    <t>Alopecurus pratensis</t>
  </si>
  <si>
    <t>SEPUP2</t>
  </si>
  <si>
    <t>Setaria pumila</t>
  </si>
  <si>
    <t>TRDA3</t>
  </si>
  <si>
    <t>Tripsacum dactyloides</t>
  </si>
  <si>
    <t>SOLID</t>
  </si>
  <si>
    <t>Solidago</t>
  </si>
  <si>
    <t>RIBES</t>
  </si>
  <si>
    <t>Ribes</t>
  </si>
  <si>
    <t>Grossulariaceae</t>
  </si>
  <si>
    <t>ELIN3</t>
  </si>
  <si>
    <t>Eleusine indica</t>
  </si>
  <si>
    <t>BOCU</t>
  </si>
  <si>
    <t>Bouteloua curtipendula</t>
  </si>
  <si>
    <t>Grama, Sideoats</t>
  </si>
  <si>
    <t>VITIS</t>
  </si>
  <si>
    <t>Vitis spp.</t>
  </si>
  <si>
    <t>Vitaceae</t>
  </si>
  <si>
    <t>PAUR2</t>
  </si>
  <si>
    <t>Paspalum urvillei</t>
  </si>
  <si>
    <t>SEVI4</t>
  </si>
  <si>
    <t>Setaria viridis</t>
  </si>
  <si>
    <t>SMILA2</t>
  </si>
  <si>
    <t>Smilax</t>
  </si>
  <si>
    <t>Smilacaceae</t>
  </si>
  <si>
    <t>PHYSA</t>
  </si>
  <si>
    <t>Physalis</t>
  </si>
  <si>
    <t xml:space="preserve">toxic </t>
  </si>
  <si>
    <t>CELTI</t>
  </si>
  <si>
    <t>Celtis</t>
  </si>
  <si>
    <t>LAAM</t>
  </si>
  <si>
    <t>Lamium amplexicaule</t>
  </si>
  <si>
    <t>Lamiaceae</t>
  </si>
  <si>
    <t>CARYA</t>
  </si>
  <si>
    <t>Carya</t>
  </si>
  <si>
    <t>Juglandaceae</t>
  </si>
  <si>
    <t>LOJA</t>
  </si>
  <si>
    <t>Lonicera japonica</t>
  </si>
  <si>
    <t>SOCA3</t>
  </si>
  <si>
    <t>Solanum carolinense</t>
  </si>
  <si>
    <t>COCA5</t>
  </si>
  <si>
    <t>Conyza canadensis</t>
  </si>
  <si>
    <t>toxic when small</t>
  </si>
  <si>
    <t>SONU2</t>
  </si>
  <si>
    <t>Sorghastrum nutans</t>
  </si>
  <si>
    <t>Indiangrass</t>
  </si>
  <si>
    <t>APCA</t>
  </si>
  <si>
    <t>Apocynum cannabinum</t>
  </si>
  <si>
    <t>Indianhemp</t>
  </si>
  <si>
    <t>Apocynaceae</t>
  </si>
  <si>
    <t>BATI</t>
  </si>
  <si>
    <t>Baptisia tinctoria</t>
  </si>
  <si>
    <t>VERNO</t>
  </si>
  <si>
    <t>Vernonia</t>
  </si>
  <si>
    <t>SEOB4</t>
  </si>
  <si>
    <t>Senna obtusifolia</t>
  </si>
  <si>
    <t>DAST</t>
  </si>
  <si>
    <t>Datura stramonium</t>
  </si>
  <si>
    <t>posionous</t>
  </si>
  <si>
    <t>SOHA</t>
  </si>
  <si>
    <t>Sorghum halepense</t>
  </si>
  <si>
    <t>BROL</t>
  </si>
  <si>
    <t>Brassica oleracea</t>
  </si>
  <si>
    <t>Kale/Collards</t>
  </si>
  <si>
    <t>CENTA</t>
  </si>
  <si>
    <t>Centaurea</t>
  </si>
  <si>
    <t>CEST8</t>
  </si>
  <si>
    <t>Centaurea stoebe</t>
  </si>
  <si>
    <t>POCU6</t>
  </si>
  <si>
    <t>Polygonum cuspidatum</t>
  </si>
  <si>
    <t>PUMO</t>
  </si>
  <si>
    <t>Pueraria montana</t>
  </si>
  <si>
    <t>CHAL7</t>
  </si>
  <si>
    <t>Chenopodium album</t>
  </si>
  <si>
    <t>DELPH</t>
  </si>
  <si>
    <t>Delphinium L.</t>
  </si>
  <si>
    <t>AMCA6</t>
  </si>
  <si>
    <t>Amorpha canescens</t>
  </si>
  <si>
    <t>LECU2</t>
  </si>
  <si>
    <t>Lens culinaris   </t>
  </si>
  <si>
    <t>Lentil, Spring</t>
  </si>
  <si>
    <t>KUST2</t>
  </si>
  <si>
    <t>Kummerowia striata</t>
  </si>
  <si>
    <t>KUST</t>
  </si>
  <si>
    <t>Kummerowia stipulacea</t>
  </si>
  <si>
    <t>LECA8</t>
  </si>
  <si>
    <t>Lespedeza Capitata</t>
  </si>
  <si>
    <t>Lespedeza, Roundheaded</t>
  </si>
  <si>
    <t>LECU</t>
  </si>
  <si>
    <t>Lespedeza cuneata</t>
  </si>
  <si>
    <t>LEVI7</t>
  </si>
  <si>
    <t>Lespedeza Virginica</t>
  </si>
  <si>
    <t>Lespedeza, Slender</t>
  </si>
  <si>
    <t>LASE</t>
  </si>
  <si>
    <t>Lactuca serriola</t>
  </si>
  <si>
    <t>ROPS</t>
  </si>
  <si>
    <t>Robinia pseudoacacia</t>
  </si>
  <si>
    <t>GLTR</t>
  </si>
  <si>
    <t>Gleditsia tricanthos</t>
  </si>
  <si>
    <t>ERPE</t>
  </si>
  <si>
    <t>Eragrostis pectinacea</t>
  </si>
  <si>
    <t>LUAL22</t>
  </si>
  <si>
    <t>Lupinus albus L.</t>
  </si>
  <si>
    <t>Lupin</t>
  </si>
  <si>
    <t>Poisonous</t>
  </si>
  <si>
    <t>MELU</t>
  </si>
  <si>
    <t>Medicago lupulina</t>
  </si>
  <si>
    <t>ASCLE</t>
  </si>
  <si>
    <t>Asclepias L.</t>
  </si>
  <si>
    <t>Asclepiadaceae</t>
  </si>
  <si>
    <t>URRA</t>
  </si>
  <si>
    <t>Urochloa ramosa</t>
  </si>
  <si>
    <t>SEIT</t>
  </si>
  <si>
    <t>Setaria italica</t>
  </si>
  <si>
    <t>ECES</t>
  </si>
  <si>
    <t>Echinochloa esculenta</t>
  </si>
  <si>
    <t>Millet, Japanese</t>
  </si>
  <si>
    <t>PEGL2</t>
  </si>
  <si>
    <t>Pennisetum glaucum</t>
  </si>
  <si>
    <t>PAMI2</t>
  </si>
  <si>
    <t>Panicum miliaceum</t>
  </si>
  <si>
    <t>MIMOS</t>
  </si>
  <si>
    <t>Mimosa</t>
  </si>
  <si>
    <t>PEFR4</t>
  </si>
  <si>
    <t>Perilla frutescens</t>
  </si>
  <si>
    <t>IPOMO</t>
  </si>
  <si>
    <t>Ipomea spp.</t>
  </si>
  <si>
    <t>CEFO2</t>
  </si>
  <si>
    <t>Cerastium fontanum</t>
  </si>
  <si>
    <t>MUME2</t>
  </si>
  <si>
    <t>Muhlenbergia mexicana</t>
  </si>
  <si>
    <t>MORUS</t>
  </si>
  <si>
    <t>Morus</t>
  </si>
  <si>
    <t>Moraceae</t>
  </si>
  <si>
    <t>BRRA</t>
  </si>
  <si>
    <t>Brassica juncea</t>
  </si>
  <si>
    <t>ALPE4</t>
  </si>
  <si>
    <t>Alliaria petiolata</t>
  </si>
  <si>
    <t>SIOF</t>
  </si>
  <si>
    <t>Sisymbrium officinale</t>
  </si>
  <si>
    <t>SOLAN</t>
  </si>
  <si>
    <t>Solanum</t>
  </si>
  <si>
    <t>MUSC</t>
  </si>
  <si>
    <t>Muhlenbergia schreberi</t>
  </si>
  <si>
    <t>CYPER</t>
  </si>
  <si>
    <t>Cyperus</t>
  </si>
  <si>
    <t>Nutsedge</t>
  </si>
  <si>
    <t>Cyperaceae</t>
  </si>
  <si>
    <t>QUERC</t>
  </si>
  <si>
    <t>Quercus</t>
  </si>
  <si>
    <t>Fagaceae</t>
  </si>
  <si>
    <t>QUVE</t>
  </si>
  <si>
    <t>Quercus velutina</t>
  </si>
  <si>
    <t>QUMA3</t>
  </si>
  <si>
    <t>Quercus marilandica</t>
  </si>
  <si>
    <t>QUMA2</t>
  </si>
  <si>
    <t>Quercus macrocarpa</t>
  </si>
  <si>
    <t>QURU</t>
  </si>
  <si>
    <t>Quercus rubra</t>
  </si>
  <si>
    <t>QUST</t>
  </si>
  <si>
    <t>Quercus stellata</t>
  </si>
  <si>
    <t>QUCO2</t>
  </si>
  <si>
    <t>Quercus coccinea</t>
  </si>
  <si>
    <t>QUAL</t>
  </si>
  <si>
    <t>Quercus alba</t>
  </si>
  <si>
    <t>QUPH</t>
  </si>
  <si>
    <t>Quercus phellos</t>
  </si>
  <si>
    <t>AVSA</t>
  </si>
  <si>
    <t>Avena sativa</t>
  </si>
  <si>
    <t>DASP2</t>
  </si>
  <si>
    <t>Danthonia spicata</t>
  </si>
  <si>
    <t>AREL3</t>
  </si>
  <si>
    <t>Arrhenatherum elatius</t>
  </si>
  <si>
    <t>ABES</t>
  </si>
  <si>
    <t>Abelmoschus esculentus L.</t>
  </si>
  <si>
    <t>Malvaceae</t>
  </si>
  <si>
    <t>ATPA4</t>
  </si>
  <si>
    <t>Atriplex patula</t>
  </si>
  <si>
    <t>Dactylis glomerata</t>
  </si>
  <si>
    <t>Orchardgrass, Early Hay Varities</t>
  </si>
  <si>
    <t>Orchardgrass, Late Maturing</t>
  </si>
  <si>
    <t>MAPO</t>
  </si>
  <si>
    <t>Maclura pomifera</t>
  </si>
  <si>
    <t>PADI</t>
  </si>
  <si>
    <t>Panicum dichotomiflorum</t>
  </si>
  <si>
    <t>PASA2</t>
  </si>
  <si>
    <t>Pastinaca sativa</t>
  </si>
  <si>
    <t>PASSI</t>
  </si>
  <si>
    <t>Passiflora</t>
  </si>
  <si>
    <t>Passifloraceae</t>
  </si>
  <si>
    <t>VIUN</t>
  </si>
  <si>
    <t>Vigna unguiculata</t>
  </si>
  <si>
    <t>LAOC2</t>
  </si>
  <si>
    <t>Lathyrus ochroleucus</t>
  </si>
  <si>
    <t>LAPA4</t>
  </si>
  <si>
    <t>Lathyrus palustris</t>
  </si>
  <si>
    <t>LAVE</t>
  </si>
  <si>
    <t>Lathyrus venosus</t>
  </si>
  <si>
    <t>LATHY</t>
  </si>
  <si>
    <t>Lathyrus sp.</t>
  </si>
  <si>
    <t>PISA6</t>
  </si>
  <si>
    <t>Pisum sativum subsp. arvense</t>
  </si>
  <si>
    <t>THAR5</t>
  </si>
  <si>
    <t>Thlaspi arvense</t>
  </si>
  <si>
    <t>LECA5</t>
  </si>
  <si>
    <t>Lepidium campestre</t>
  </si>
  <si>
    <t>LEVI3</t>
  </si>
  <si>
    <t>Lepidium virginicum</t>
  </si>
  <si>
    <t>PHTA</t>
  </si>
  <si>
    <t>Phacelia tanacetifolia</t>
  </si>
  <si>
    <t>Hydrophyllaceae</t>
  </si>
  <si>
    <t>AMRE</t>
  </si>
  <si>
    <t>Amaranthus retroflexus</t>
  </si>
  <si>
    <t>Nitrates possible</t>
  </si>
  <si>
    <t>PIST</t>
  </si>
  <si>
    <t>Pinus strobus L.</t>
  </si>
  <si>
    <t>Pinaceae</t>
  </si>
  <si>
    <t>Cows can abort</t>
  </si>
  <si>
    <t>PLANT</t>
  </si>
  <si>
    <t>Plantago major L.</t>
  </si>
  <si>
    <t>Plantaginaceae</t>
  </si>
  <si>
    <t>Plantago lanceolata L.</t>
  </si>
  <si>
    <t>TORA2</t>
  </si>
  <si>
    <t>Toxicodendron radicans</t>
  </si>
  <si>
    <t>Anacardiaceae</t>
  </si>
  <si>
    <t>PHAM4</t>
  </si>
  <si>
    <t>Phytolacca americana</t>
  </si>
  <si>
    <t>Phytolaccaceae</t>
  </si>
  <si>
    <t>DAPU5</t>
  </si>
  <si>
    <t>Dalea purpurea</t>
  </si>
  <si>
    <t>DAVI</t>
  </si>
  <si>
    <t>Dalea villosa</t>
  </si>
  <si>
    <t>DACA7</t>
  </si>
  <si>
    <t>Dalea candida</t>
  </si>
  <si>
    <t>ZANTH</t>
  </si>
  <si>
    <t>Zanthoxylum americanum</t>
  </si>
  <si>
    <t>Rutaceae</t>
  </si>
  <si>
    <t>LIGUS2</t>
  </si>
  <si>
    <t>Ligustrum spp.</t>
  </si>
  <si>
    <t>LISI</t>
  </si>
  <si>
    <t>Ligustrum sinense</t>
  </si>
  <si>
    <t>CUPEP</t>
  </si>
  <si>
    <t>Cucurbitaceae</t>
  </si>
  <si>
    <t>LYSA2</t>
  </si>
  <si>
    <t>Lythrum salicaria</t>
  </si>
  <si>
    <t>Lythraceae</t>
  </si>
  <si>
    <t>TRFL2</t>
  </si>
  <si>
    <t>Tridens flavus</t>
  </si>
  <si>
    <t>ELRE4</t>
  </si>
  <si>
    <t>Elymus repens</t>
  </si>
  <si>
    <t>RASA2</t>
  </si>
  <si>
    <t>Raphanus sativus</t>
  </si>
  <si>
    <t>RARA2</t>
  </si>
  <si>
    <t>Raphanus raphanistrum</t>
  </si>
  <si>
    <t>AMAR2</t>
  </si>
  <si>
    <t>Ambrosia artemisiifolia</t>
  </si>
  <si>
    <t>AMTR</t>
  </si>
  <si>
    <t>Ambrosia trifida</t>
  </si>
  <si>
    <t>AGGI2</t>
  </si>
  <si>
    <t>Agrostis gigantea</t>
  </si>
  <si>
    <t>PHAR3</t>
  </si>
  <si>
    <t>Phalaris arundinacea</t>
  </si>
  <si>
    <t>ROCA4</t>
  </si>
  <si>
    <t>Rosa carolina</t>
  </si>
  <si>
    <t>ROMU</t>
  </si>
  <si>
    <t>Rosa multiflora</t>
  </si>
  <si>
    <t>ROVI2</t>
  </si>
  <si>
    <t>Rosa virginiana</t>
  </si>
  <si>
    <t>Juncus</t>
  </si>
  <si>
    <t>Juncaceae</t>
  </si>
  <si>
    <t>SECE</t>
  </si>
  <si>
    <t>Secale cereale</t>
  </si>
  <si>
    <t>LOMU</t>
  </si>
  <si>
    <t>Lolium multiflorum</t>
  </si>
  <si>
    <t>LOPEM2</t>
  </si>
  <si>
    <t>Lolium perenne ssp. multiflorum</t>
  </si>
  <si>
    <t>LOPE</t>
  </si>
  <si>
    <t>Lolium perenne</t>
  </si>
  <si>
    <t>CATI</t>
  </si>
  <si>
    <t>Carthamus tinctorius</t>
  </si>
  <si>
    <t>TRPO</t>
  </si>
  <si>
    <t>Tragopogon porrifolius</t>
  </si>
  <si>
    <t>CAREX</t>
  </si>
  <si>
    <t>Carex</t>
  </si>
  <si>
    <t>ARCA</t>
  </si>
  <si>
    <t>Arabis canadensis</t>
  </si>
  <si>
    <t>PSTE5</t>
  </si>
  <si>
    <t xml:space="preserve">Psoralidium tenuiflorum </t>
  </si>
  <si>
    <t>AGAL5</t>
  </si>
  <si>
    <t>Ageratina altissima</t>
  </si>
  <si>
    <t>HEAM</t>
  </si>
  <si>
    <t>Helenium amarum</t>
  </si>
  <si>
    <t>SOBI2</t>
  </si>
  <si>
    <t>Sorghum bicolor</t>
  </si>
  <si>
    <t>GLMA4</t>
  </si>
  <si>
    <t>Glycine max L. </t>
  </si>
  <si>
    <t>ELEOC</t>
  </si>
  <si>
    <t>Eleocharis</t>
  </si>
  <si>
    <t>Spikerush</t>
  </si>
  <si>
    <t>CIMA2</t>
  </si>
  <si>
    <t>Cicuta maculata</t>
  </si>
  <si>
    <t>EUES</t>
  </si>
  <si>
    <t>Euphorbia esula</t>
  </si>
  <si>
    <t>Euphorbiaceae</t>
  </si>
  <si>
    <t>MIVI</t>
  </si>
  <si>
    <t>Microstegium vimineum</t>
  </si>
  <si>
    <t>STGR</t>
  </si>
  <si>
    <t>Stellaria graminea</t>
  </si>
  <si>
    <t>Chickweed family</t>
  </si>
  <si>
    <t>SOBID</t>
  </si>
  <si>
    <t xml:space="preserve">Sorghum bicolor </t>
  </si>
  <si>
    <t>RHUS</t>
  </si>
  <si>
    <t>Rhus spp.</t>
  </si>
  <si>
    <t>RHTY</t>
  </si>
  <si>
    <t>Rhus typhina</t>
  </si>
  <si>
    <t>RHCO</t>
  </si>
  <si>
    <t>Rhus copallinum</t>
  </si>
  <si>
    <t>IVAN2</t>
  </si>
  <si>
    <t>Iva annua</t>
  </si>
  <si>
    <t>HEAN3</t>
  </si>
  <si>
    <t>Helianthus annuus</t>
  </si>
  <si>
    <t>CRJU</t>
  </si>
  <si>
    <t>Crotalaria juncea</t>
  </si>
  <si>
    <t>ANOD</t>
  </si>
  <si>
    <t>Anthoxanthum odoratum</t>
  </si>
  <si>
    <t>MEOF</t>
  </si>
  <si>
    <t>Melilotus officinalis</t>
  </si>
  <si>
    <t>Toxic as moldy hay</t>
  </si>
  <si>
    <t>PAVI2</t>
  </si>
  <si>
    <t>Panicum virgatum</t>
  </si>
  <si>
    <t>photosens equine</t>
  </si>
  <si>
    <t>ERTE</t>
  </si>
  <si>
    <t>Eragrostis tef</t>
  </si>
  <si>
    <t>CIRSI</t>
  </si>
  <si>
    <t>Cirsium</t>
  </si>
  <si>
    <t>CARDU</t>
  </si>
  <si>
    <t>Carduus</t>
  </si>
  <si>
    <t>AGHY</t>
  </si>
  <si>
    <t>Agrostis hyemalis</t>
  </si>
  <si>
    <t>DECA7</t>
  </si>
  <si>
    <t>Desmodium canadense</t>
  </si>
  <si>
    <t>PHPR3</t>
  </si>
  <si>
    <t>Phleum pratense</t>
  </si>
  <si>
    <t>AIAL</t>
  </si>
  <si>
    <t>Ailanthus altissima</t>
  </si>
  <si>
    <t>Simaroubaceae</t>
  </si>
  <si>
    <t>LOPE80</t>
  </si>
  <si>
    <t>Lotus pedunculatus</t>
  </si>
  <si>
    <t>LOCO6</t>
  </si>
  <si>
    <t>Lotus corniculatus</t>
  </si>
  <si>
    <t>LOUNU</t>
  </si>
  <si>
    <t>Lotus unifoliolatus var. unifoliolatus</t>
  </si>
  <si>
    <t>TRITI2</t>
  </si>
  <si>
    <t>x Triticosecale</t>
  </si>
  <si>
    <t>Brassica rapa</t>
  </si>
  <si>
    <t>HOLA</t>
  </si>
  <si>
    <t>Holcus lanatus</t>
  </si>
  <si>
    <t>VIAM</t>
  </si>
  <si>
    <t>Vicia americana</t>
  </si>
  <si>
    <t>LASA2</t>
  </si>
  <si>
    <t>Lathyrus sativus</t>
  </si>
  <si>
    <t>VISA</t>
  </si>
  <si>
    <t>Vicia sativa</t>
  </si>
  <si>
    <t>SEVA4</t>
  </si>
  <si>
    <t>Securigera varia</t>
  </si>
  <si>
    <t>VIVI</t>
  </si>
  <si>
    <t>Vicia villosa</t>
  </si>
  <si>
    <t>JUNI</t>
  </si>
  <si>
    <t>Juglans nigra</t>
  </si>
  <si>
    <t>TRAE</t>
  </si>
  <si>
    <t>Triticum aestivum</t>
  </si>
  <si>
    <t>ELCA4</t>
  </si>
  <si>
    <t>Elymus canadensis</t>
  </si>
  <si>
    <t>ELRI</t>
  </si>
  <si>
    <t>Elymus riparius</t>
  </si>
  <si>
    <t>ELVI3</t>
  </si>
  <si>
    <t>Elymus virginicus</t>
  </si>
  <si>
    <t>SALIX</t>
  </si>
  <si>
    <t>Salix</t>
  </si>
  <si>
    <t>Salicaceae</t>
  </si>
  <si>
    <t>VEAL</t>
  </si>
  <si>
    <t>Verbesina alternifolia</t>
  </si>
  <si>
    <t>PACA6</t>
  </si>
  <si>
    <t>Panicum capillare</t>
  </si>
  <si>
    <t>BAVU</t>
  </si>
  <si>
    <t>Barbarea vulgaris</t>
  </si>
  <si>
    <t>x</t>
  </si>
  <si>
    <t>State Selection</t>
  </si>
  <si>
    <t>State_List</t>
  </si>
  <si>
    <t>Live Cover</t>
  </si>
  <si>
    <t>N/A</t>
  </si>
  <si>
    <t>Site ID</t>
  </si>
  <si>
    <t>Date Assessed</t>
  </si>
  <si>
    <t>Landuse</t>
  </si>
  <si>
    <t>Current Season's Precipitation:</t>
  </si>
  <si>
    <t>Current Season's Temperature:</t>
  </si>
  <si>
    <t>Cows</t>
  </si>
  <si>
    <t>Horses</t>
  </si>
  <si>
    <t>Goats</t>
  </si>
  <si>
    <t>Sheep</t>
  </si>
  <si>
    <t>Other</t>
  </si>
  <si>
    <t>Livestock(s) Type</t>
  </si>
  <si>
    <t xml:space="preserve">Will you be using the Step Point Method to complete the PCS? </t>
  </si>
  <si>
    <t>The number of Steps may vary depending on field size.</t>
  </si>
  <si>
    <t>Number of Steps?</t>
  </si>
  <si>
    <t>Acres</t>
  </si>
  <si>
    <t>Record Step Sample</t>
  </si>
  <si>
    <t>Soil Cover</t>
  </si>
  <si>
    <t>Dead Material</t>
  </si>
  <si>
    <t>Alive &amp; Green</t>
  </si>
  <si>
    <t>Step Point</t>
  </si>
  <si>
    <t>Field Number</t>
  </si>
  <si>
    <t>Field Name</t>
  </si>
  <si>
    <t>Livestock Type</t>
  </si>
  <si>
    <t>Current Season's Precipitation</t>
  </si>
  <si>
    <t>Current Season's Temperature</t>
  </si>
  <si>
    <t>Number Steps</t>
  </si>
  <si>
    <t>ID</t>
  </si>
  <si>
    <t>Pasture</t>
  </si>
  <si>
    <t>Functional Type</t>
  </si>
  <si>
    <t>Desirable - Cattle</t>
  </si>
  <si>
    <t>Desirable - Sheep</t>
  </si>
  <si>
    <t>Desirable - Horse</t>
  </si>
  <si>
    <t>Desirable - Goat</t>
  </si>
  <si>
    <r>
      <t>Acres:</t>
    </r>
    <r>
      <rPr>
        <sz val="6"/>
        <color rgb="FF000000"/>
        <rFont val="Calibri"/>
        <family val="2"/>
        <scheme val="minor"/>
      </rPr>
      <t xml:space="preserve"> </t>
    </r>
    <r>
      <rPr>
        <sz val="6"/>
        <color rgb="FFFF0000"/>
        <rFont val="Calibri"/>
        <family val="2"/>
        <scheme val="minor"/>
      </rPr>
      <t>(required)</t>
    </r>
  </si>
  <si>
    <t>Landuse:</t>
  </si>
  <si>
    <t>Completed Steps:</t>
  </si>
  <si>
    <t>Record Step Sample:</t>
  </si>
  <si>
    <t>Soil Cover:</t>
  </si>
  <si>
    <t>Live Cover:</t>
  </si>
  <si>
    <t>Office</t>
  </si>
  <si>
    <t>Crop - Hayland</t>
  </si>
  <si>
    <t>Normal</t>
  </si>
  <si>
    <t>Below Normal</t>
  </si>
  <si>
    <t>Functional Group</t>
  </si>
  <si>
    <t>Agrimony</t>
  </si>
  <si>
    <t>Alfalfa</t>
  </si>
  <si>
    <t>Alfalfa, Yellow-Flowered</t>
  </si>
  <si>
    <t>Alpine Sweetvetch</t>
  </si>
  <si>
    <t>Amaranth, Spiny</t>
  </si>
  <si>
    <t>American Licorice</t>
  </si>
  <si>
    <t>Ash, White Or Green</t>
  </si>
  <si>
    <t>Autumn Olive</t>
  </si>
  <si>
    <t>Bahiagrass</t>
  </si>
  <si>
    <t>Barberry, American</t>
  </si>
  <si>
    <t>Barnyardgrass</t>
  </si>
  <si>
    <t>Bentgrass, Colonial</t>
  </si>
  <si>
    <t>Bentgrass, Creeping</t>
  </si>
  <si>
    <t>Bermudagrass, Common</t>
  </si>
  <si>
    <t>Bermudagrass, Improved</t>
  </si>
  <si>
    <t>Bindweed</t>
  </si>
  <si>
    <t>Blackhaw</t>
  </si>
  <si>
    <t>Blueberry</t>
  </si>
  <si>
    <t>Bluegrass, Annual</t>
  </si>
  <si>
    <t>Bluegrass, Canada</t>
  </si>
  <si>
    <t>Bluegrass, Kentucky</t>
  </si>
  <si>
    <t>Bluegrass, Rough</t>
  </si>
  <si>
    <t>Bluejoint Grass</t>
  </si>
  <si>
    <t>Bluestem, Big</t>
  </si>
  <si>
    <t>Bluestem, Little</t>
  </si>
  <si>
    <t>Brambles (Blackberry, Dewberry)</t>
  </si>
  <si>
    <t>Brassicas (I.E. Rape, Kale, Turnips)</t>
  </si>
  <si>
    <t>Brome, Downy</t>
  </si>
  <si>
    <t>Brome, Matua; Rescuegrass; Prairiegrass</t>
  </si>
  <si>
    <t>Brome, Meadow</t>
  </si>
  <si>
    <t>Brome, Smooth</t>
  </si>
  <si>
    <t>Broomsedge</t>
  </si>
  <si>
    <t>Buckbrush</t>
  </si>
  <si>
    <t>Buffalobur Nightshade</t>
  </si>
  <si>
    <t>Bundleflower, Illinois</t>
  </si>
  <si>
    <t>Burdock</t>
  </si>
  <si>
    <t>Bush Honeysuckle</t>
  </si>
  <si>
    <t>Buttercup</t>
  </si>
  <si>
    <t>Canadian Milkvetch</t>
  </si>
  <si>
    <t>Canola/Rapeseed, Forage</t>
  </si>
  <si>
    <t>Carpetgrass</t>
  </si>
  <si>
    <t>Carpetweed, Green</t>
  </si>
  <si>
    <t>Carrot, Wild; Queen Anne'S Lace</t>
  </si>
  <si>
    <t>Cedar</t>
  </si>
  <si>
    <t>Cedar, Eastern Red</t>
  </si>
  <si>
    <t>Cheatgrass</t>
  </si>
  <si>
    <t>Cherry, Black</t>
  </si>
  <si>
    <t>Chickweed, Common</t>
  </si>
  <si>
    <t>Chickweed, Star Or Great</t>
  </si>
  <si>
    <t>Chicory (Forage Type)</t>
  </si>
  <si>
    <t>Clover, Alsike</t>
  </si>
  <si>
    <t>Clover, Arrowleaf</t>
  </si>
  <si>
    <t>Clover, Ball</t>
  </si>
  <si>
    <t>Clover, Crimson</t>
  </si>
  <si>
    <t>Clover, Field</t>
  </si>
  <si>
    <t>Clover, Hop</t>
  </si>
  <si>
    <t>Clover, Rabbitsfoot</t>
  </si>
  <si>
    <t>Clover, Red</t>
  </si>
  <si>
    <t>Clover, Subterranean</t>
  </si>
  <si>
    <t>Clover, White</t>
  </si>
  <si>
    <t>Cocklebur, Rough</t>
  </si>
  <si>
    <t>Common Barley</t>
  </si>
  <si>
    <t>Corn, Field/Sweet/Bmr</t>
  </si>
  <si>
    <t>Crabgrass (Forage)</t>
  </si>
  <si>
    <t>Crabgrass, Large</t>
  </si>
  <si>
    <t>Crabgrass, Smooth</t>
  </si>
  <si>
    <t>Crownbeard, Yellow</t>
  </si>
  <si>
    <t>Cudweed</t>
  </si>
  <si>
    <t>Daisy, Ox-Eye</t>
  </si>
  <si>
    <t>Dallisgrass</t>
  </si>
  <si>
    <t>Dandelion</t>
  </si>
  <si>
    <t>Deertongue Grass</t>
  </si>
  <si>
    <t>Dock, Broad</t>
  </si>
  <si>
    <t>Dock, Curly</t>
  </si>
  <si>
    <t>Dogfennel</t>
  </si>
  <si>
    <t>Dwarf False Indigo</t>
  </si>
  <si>
    <t>Elm, Winged</t>
  </si>
  <si>
    <t>Fescue, Rattail</t>
  </si>
  <si>
    <t>Fescue, Red</t>
  </si>
  <si>
    <t>Fescue, Tall</t>
  </si>
  <si>
    <t>Field Milkvetch; Purple Milkvetch</t>
  </si>
  <si>
    <t>Foxtail, Giant</t>
  </si>
  <si>
    <t>Foxtail, Meadow</t>
  </si>
  <si>
    <t>Foxtail, Yellow</t>
  </si>
  <si>
    <t>Gamagrass, Eastern</t>
  </si>
  <si>
    <t>Goldenrod</t>
  </si>
  <si>
    <t>Gooseberry</t>
  </si>
  <si>
    <t>Goosegrass</t>
  </si>
  <si>
    <t>Grapes</t>
  </si>
  <si>
    <t>Grass, Vasey</t>
  </si>
  <si>
    <t>Green Foxtail</t>
  </si>
  <si>
    <t>Greenbriar</t>
  </si>
  <si>
    <t>Groundcherry</t>
  </si>
  <si>
    <t>Hackberry</t>
  </si>
  <si>
    <t>Henbit Deadnettle</t>
  </si>
  <si>
    <t>Hickory</t>
  </si>
  <si>
    <t>Honeysuckle, Japanese</t>
  </si>
  <si>
    <t>Horsenettle, Carolina</t>
  </si>
  <si>
    <t>Horseweed; Marestail</t>
  </si>
  <si>
    <t>Indigo, Wild</t>
  </si>
  <si>
    <t>Ironweed</t>
  </si>
  <si>
    <t>Java-Bean, Sicklepod</t>
  </si>
  <si>
    <t>Jimsonweed</t>
  </si>
  <si>
    <t>Johnsongrass</t>
  </si>
  <si>
    <t>Knapweed</t>
  </si>
  <si>
    <t>Knapweed, Spotted</t>
  </si>
  <si>
    <t>Knotweed, Japanese</t>
  </si>
  <si>
    <t>Kudzu</t>
  </si>
  <si>
    <t>Lambsquarters</t>
  </si>
  <si>
    <t>Larkspur</t>
  </si>
  <si>
    <t>Lead Plant</t>
  </si>
  <si>
    <t>Lespedeza, Kobe/Annual</t>
  </si>
  <si>
    <t>Lespedeza, Korean</t>
  </si>
  <si>
    <t>Lespedeza, Sericea</t>
  </si>
  <si>
    <t>Lettuce, Prickly</t>
  </si>
  <si>
    <t>Locust, Black</t>
  </si>
  <si>
    <t>Locust, Honey</t>
  </si>
  <si>
    <t>Lovegrass, Carolina</t>
  </si>
  <si>
    <t>Medick, Black</t>
  </si>
  <si>
    <t>Milkweed</t>
  </si>
  <si>
    <t>Millet, Browntop</t>
  </si>
  <si>
    <t>Millet, Foxtail</t>
  </si>
  <si>
    <t>Millet, Pearl</t>
  </si>
  <si>
    <t>Millet, Proso</t>
  </si>
  <si>
    <t>Mint, Perilla; Beefsteakplant</t>
  </si>
  <si>
    <t>Morning Glory</t>
  </si>
  <si>
    <t>Mouse-Ear Chickweed</t>
  </si>
  <si>
    <t>Muhley, Wirestem</t>
  </si>
  <si>
    <t>Mulberry</t>
  </si>
  <si>
    <t>Mustard</t>
  </si>
  <si>
    <t>Mustard, Garlic</t>
  </si>
  <si>
    <t>Mustard, Hedge</t>
  </si>
  <si>
    <t>Nightshade</t>
  </si>
  <si>
    <t>Nimblewill</t>
  </si>
  <si>
    <t>Oak</t>
  </si>
  <si>
    <t>Oak, Black</t>
  </si>
  <si>
    <t>Oak, Blackjack</t>
  </si>
  <si>
    <t>Oak, Bur</t>
  </si>
  <si>
    <t>Oak, Northern Red</t>
  </si>
  <si>
    <t>Oak, Post</t>
  </si>
  <si>
    <t>Oak, Scarlet</t>
  </si>
  <si>
    <t>Oak, White</t>
  </si>
  <si>
    <t>Oak, Willow</t>
  </si>
  <si>
    <t>Oat, Common/Spring/Black</t>
  </si>
  <si>
    <t>Oatgrass, Poverty</t>
  </si>
  <si>
    <t>Oatgrass, Tall</t>
  </si>
  <si>
    <t>Okra</t>
  </si>
  <si>
    <t>Orach</t>
  </si>
  <si>
    <t>Osage-Orange</t>
  </si>
  <si>
    <t>Panicum, Fall</t>
  </si>
  <si>
    <t>Parsnip, Wild</t>
  </si>
  <si>
    <t>Passionflower</t>
  </si>
  <si>
    <t>Pea, Cow</t>
  </si>
  <si>
    <t>Pea, Cream</t>
  </si>
  <si>
    <t>Pea, Marsh</t>
  </si>
  <si>
    <t>Pea, Veiny</t>
  </si>
  <si>
    <t>Pea, Wild</t>
  </si>
  <si>
    <t>Peas, (Field/Spring/Winter)</t>
  </si>
  <si>
    <t>Pennycress, Field</t>
  </si>
  <si>
    <t>Pepperweed, Field</t>
  </si>
  <si>
    <t>Pepperweed, Virginia</t>
  </si>
  <si>
    <t>Phacelia</t>
  </si>
  <si>
    <t>Pigweed, Redroot</t>
  </si>
  <si>
    <t>Pine, White</t>
  </si>
  <si>
    <t>Plaintains (Broadleaf, Forage)</t>
  </si>
  <si>
    <t>Plaintains (Narrowleaf)</t>
  </si>
  <si>
    <t>Poison Ivy, Eastern</t>
  </si>
  <si>
    <t>Pokeweed, American</t>
  </si>
  <si>
    <t>Prairie Clover, Purple</t>
  </si>
  <si>
    <t>Prairie Clover, Silky</t>
  </si>
  <si>
    <t>Prairie Clover, White</t>
  </si>
  <si>
    <t>Pricklyash</t>
  </si>
  <si>
    <t>Privet</t>
  </si>
  <si>
    <t>Privet, Chinese</t>
  </si>
  <si>
    <t>Pumpkins/Squash/Melons</t>
  </si>
  <si>
    <t>Purple Loosestrife</t>
  </si>
  <si>
    <t>Purpletop</t>
  </si>
  <si>
    <t>Quackgrass</t>
  </si>
  <si>
    <t>Radish, (Oil Seed)</t>
  </si>
  <si>
    <t>Radish, Wild</t>
  </si>
  <si>
    <t>Ragweed, Annual</t>
  </si>
  <si>
    <t>Ragweed, Giant</t>
  </si>
  <si>
    <t>Redtop</t>
  </si>
  <si>
    <t>Reed Canarygrass</t>
  </si>
  <si>
    <t>Rose, Carolina</t>
  </si>
  <si>
    <t>Rose, Multiflora</t>
  </si>
  <si>
    <t>Rose, Virginia</t>
  </si>
  <si>
    <t>Rushes, Most Types</t>
  </si>
  <si>
    <t>Rye, Cereal</t>
  </si>
  <si>
    <t>Ryegrass, Annual</t>
  </si>
  <si>
    <t>Ryegrass, Italian, Annual, Or Marshall</t>
  </si>
  <si>
    <t>Ryegrass, Perennial</t>
  </si>
  <si>
    <t>Safflower</t>
  </si>
  <si>
    <t>Salsify</t>
  </si>
  <si>
    <t>Sedges, Most Types</t>
  </si>
  <si>
    <t>Sicklepod</t>
  </si>
  <si>
    <t>Slimflower Scurfpea</t>
  </si>
  <si>
    <t>Snakeroot, White</t>
  </si>
  <si>
    <t>Sneezeweed</t>
  </si>
  <si>
    <t>Sorghum-Sudangrass/Milo</t>
  </si>
  <si>
    <t>Sorghum-Sudangrass/Milo, Bmr</t>
  </si>
  <si>
    <t>Soybean, (Forage &amp; Field)</t>
  </si>
  <si>
    <t>Spotted Water Hemlock</t>
  </si>
  <si>
    <t>Spurge, Leafy</t>
  </si>
  <si>
    <t>Stiltgrass, Japanese; Nepalese Browntop</t>
  </si>
  <si>
    <t>Stitchwort</t>
  </si>
  <si>
    <t>Sudangrass</t>
  </si>
  <si>
    <t xml:space="preserve">Sumac </t>
  </si>
  <si>
    <t>Sumac, Staghorn</t>
  </si>
  <si>
    <t>Sumac, Winged</t>
  </si>
  <si>
    <t>Sumpweed; Annual Marsh Elder</t>
  </si>
  <si>
    <t>Sunflower</t>
  </si>
  <si>
    <t>Sunn Hemp</t>
  </si>
  <si>
    <t>Sweet Vernalgrass</t>
  </si>
  <si>
    <t>Sweetclover</t>
  </si>
  <si>
    <t>Switchgrass</t>
  </si>
  <si>
    <t>Teff</t>
  </si>
  <si>
    <t>Thistle</t>
  </si>
  <si>
    <t>Thistle, Plumeless</t>
  </si>
  <si>
    <t>Ticklegrass</t>
  </si>
  <si>
    <t>Ticktrefoil, Showy</t>
  </si>
  <si>
    <t>Timothy</t>
  </si>
  <si>
    <t>Tree Of Heaven</t>
  </si>
  <si>
    <t>Trefoil, Big</t>
  </si>
  <si>
    <t>Trefoil, Birdsfoot</t>
  </si>
  <si>
    <t>Trefoil, Prairie</t>
  </si>
  <si>
    <t>Triticale</t>
  </si>
  <si>
    <t>Turnip, Forage</t>
  </si>
  <si>
    <t>Velvetgrass</t>
  </si>
  <si>
    <t>Vetch, American; American Deervetch</t>
  </si>
  <si>
    <t>Vetch, Chickling (Chickling Pea)</t>
  </si>
  <si>
    <t>Vetch, Common</t>
  </si>
  <si>
    <t>Vetch, Crown</t>
  </si>
  <si>
    <t>Vetch, Hairy Or Winter</t>
  </si>
  <si>
    <t>Walnut, Black</t>
  </si>
  <si>
    <t>Wheat</t>
  </si>
  <si>
    <t>Wildrye, Canada</t>
  </si>
  <si>
    <t>Wildrye, Riverbank</t>
  </si>
  <si>
    <t>Wildrye, Virginia</t>
  </si>
  <si>
    <t>Willow</t>
  </si>
  <si>
    <t>Wingstem</t>
  </si>
  <si>
    <t>Witchgrass</t>
  </si>
  <si>
    <t>Yellow Rocket; Wintercress</t>
  </si>
  <si>
    <t/>
  </si>
  <si>
    <t>Lifespan</t>
  </si>
  <si>
    <t>Site Species</t>
  </si>
  <si>
    <t>Pasture Condition Score Sheet</t>
  </si>
  <si>
    <t>Operator:</t>
  </si>
  <si>
    <t>Evaluator:</t>
  </si>
  <si>
    <t>Pasture ID:</t>
  </si>
  <si>
    <t>Soil(s), ESD(s) and or FSG(s):</t>
  </si>
  <si>
    <t>Livestock type:</t>
  </si>
  <si>
    <t>Current Season's Precipitation (check one)</t>
  </si>
  <si>
    <t>Above Normal</t>
  </si>
  <si>
    <t>Seasonal Temperature Trend (check one)</t>
  </si>
  <si>
    <t>Evaluate the site and rate each indicator based upon your observations.  Scores for each indicator may range from 1 to 5.  Sum the indicator scores to determine overall pasture condition score.</t>
  </si>
  <si>
    <t>Score</t>
  </si>
  <si>
    <t>Indicator</t>
  </si>
  <si>
    <t>1 Point</t>
  </si>
  <si>
    <t>2 Points</t>
  </si>
  <si>
    <t>3 Points</t>
  </si>
  <si>
    <t>4 Points</t>
  </si>
  <si>
    <t>5 Points</t>
  </si>
  <si>
    <t>Points</t>
  </si>
  <si>
    <r>
      <t xml:space="preserve">                       Percent Desirable Plants* </t>
    </r>
    <r>
      <rPr>
        <sz val="18"/>
        <rFont val="Arial"/>
        <family val="2"/>
      </rPr>
      <t>(Dry Weight; for Livestock Type)</t>
    </r>
    <r>
      <rPr>
        <b/>
        <sz val="18"/>
        <rFont val="Arial"/>
        <family val="2"/>
      </rPr>
      <t xml:space="preserve">
</t>
    </r>
  </si>
  <si>
    <t xml:space="preserve">Desirable species &lt;20% of stand.
</t>
  </si>
  <si>
    <t xml:space="preserve">Desirable species 
20 – 40% of stand. 
</t>
  </si>
  <si>
    <t xml:space="preserve">Desirable species                              41 – 60% of stand. </t>
  </si>
  <si>
    <t xml:space="preserve"> Desirable species                  61 – 80% of stand.  </t>
  </si>
  <si>
    <t xml:space="preserve">Desirable species exceed 80% of stand. </t>
  </si>
  <si>
    <t xml:space="preserve">Percent Legume by Dry Weight             </t>
  </si>
  <si>
    <r>
      <t xml:space="preserve">&lt;5%                             </t>
    </r>
    <r>
      <rPr>
        <b/>
        <sz val="23"/>
        <color indexed="10"/>
        <rFont val="Arial"/>
        <family val="2"/>
      </rPr>
      <t>OR</t>
    </r>
    <r>
      <rPr>
        <sz val="23"/>
        <rFont val="Arial"/>
        <family val="2"/>
      </rPr>
      <t xml:space="preserve">                              &gt;50% bloating legumes.</t>
    </r>
  </si>
  <si>
    <r>
      <t xml:space="preserve">5-10% legumes                       </t>
    </r>
    <r>
      <rPr>
        <b/>
        <sz val="23"/>
        <color indexed="10"/>
        <rFont val="Arial"/>
        <family val="2"/>
      </rPr>
      <t>OR</t>
    </r>
    <r>
      <rPr>
        <sz val="23"/>
        <rFont val="Arial"/>
        <family val="2"/>
      </rPr>
      <t xml:space="preserve">                              &gt;40% bloating legume.</t>
    </r>
  </si>
  <si>
    <t xml:space="preserve">11-20% legumes.                     </t>
  </si>
  <si>
    <t xml:space="preserve">21-30% legumes.                   </t>
  </si>
  <si>
    <t xml:space="preserve">31-40% legumes. No grass loss; grass may be increasing.              </t>
  </si>
  <si>
    <t xml:space="preserve">Live (includes dormant) Plant Cover
</t>
  </si>
  <si>
    <t>Less than 40% is live leaf canopy.  Remaining is either dead standing material, or bare ground.</t>
  </si>
  <si>
    <t>40-65% is live leaf canopy.  Remaining is either dead standing material, or bare ground.</t>
  </si>
  <si>
    <t>66-80% live leaf canopy.  Remaining is either dead standing material, or bare ground.</t>
  </si>
  <si>
    <t>81-95% live leaf canopy.  Remaining is either dead standing material, or bare ground.</t>
  </si>
  <si>
    <t>More than 95% live (non-dormant) leaf canopy.  Remaining is either dead standing material, or bare ground.</t>
  </si>
  <si>
    <r>
      <t xml:space="preserve">Plant Diversity by Dry Weight                                                                </t>
    </r>
    <r>
      <rPr>
        <sz val="18"/>
        <rFont val="Arial"/>
        <family val="2"/>
      </rPr>
      <t xml:space="preserve"> (*See footnote at bottom of page)</t>
    </r>
  </si>
  <si>
    <r>
      <rPr>
        <b/>
        <sz val="23"/>
        <rFont val="Arial"/>
        <family val="2"/>
      </rPr>
      <t xml:space="preserve">Diversity: </t>
    </r>
    <r>
      <rPr>
        <sz val="23"/>
        <rFont val="Arial"/>
        <family val="2"/>
      </rPr>
      <t xml:space="preserve"> Very low </t>
    </r>
  </si>
  <si>
    <r>
      <rPr>
        <b/>
        <sz val="23"/>
        <rFont val="Arial"/>
        <family val="2"/>
      </rPr>
      <t>Diversity</t>
    </r>
    <r>
      <rPr>
        <sz val="23"/>
        <rFont val="Arial"/>
        <family val="2"/>
      </rPr>
      <t>:  Low</t>
    </r>
  </si>
  <si>
    <r>
      <rPr>
        <b/>
        <sz val="23"/>
        <rFont val="Arial"/>
        <family val="2"/>
      </rPr>
      <t>Diversity:</t>
    </r>
    <r>
      <rPr>
        <sz val="23"/>
        <rFont val="Arial"/>
        <family val="2"/>
      </rPr>
      <t xml:space="preserve">  Moderate</t>
    </r>
  </si>
  <si>
    <r>
      <rPr>
        <b/>
        <sz val="23"/>
        <rFont val="Arial"/>
        <family val="2"/>
      </rPr>
      <t>Diversity:</t>
    </r>
    <r>
      <rPr>
        <sz val="23"/>
        <rFont val="Arial"/>
        <family val="2"/>
      </rPr>
      <t xml:space="preserve">  High</t>
    </r>
  </si>
  <si>
    <r>
      <rPr>
        <b/>
        <sz val="23"/>
        <rFont val="Arial"/>
        <family val="2"/>
      </rPr>
      <t>Diversity:</t>
    </r>
    <r>
      <rPr>
        <sz val="23"/>
        <rFont val="Arial"/>
        <family val="2"/>
      </rPr>
      <t xml:space="preserve">  Very high</t>
    </r>
  </si>
  <si>
    <r>
      <rPr>
        <sz val="23"/>
        <rFont val="Arial"/>
        <family val="2"/>
      </rPr>
      <t>&lt;50% desirable species</t>
    </r>
    <r>
      <rPr>
        <b/>
        <sz val="23"/>
        <rFont val="Arial"/>
        <family val="2"/>
      </rPr>
      <t xml:space="preserve">  </t>
    </r>
  </si>
  <si>
    <t xml:space="preserve">2 dominant desirable species in 1 functional group </t>
  </si>
  <si>
    <t>3 dominant desirable species in 1 functional group</t>
  </si>
  <si>
    <t>4 dominant desirable species in 2 functional groups</t>
  </si>
  <si>
    <t>4 dominant desirable species in 3 functional groups</t>
  </si>
  <si>
    <t xml:space="preserve">OR  </t>
  </si>
  <si>
    <t>1 dominant desirable species in 1 functional group</t>
  </si>
  <si>
    <t>2 functional groups each represented by minor species totaling ≥15%</t>
  </si>
  <si>
    <t>2-3 dominant desirable species in 2 functional groups</t>
  </si>
  <si>
    <t>3 dominant desirable species in 3 functional groups</t>
  </si>
  <si>
    <r>
      <t xml:space="preserve">4 dominant desirable species in 2 functional groups </t>
    </r>
    <r>
      <rPr>
        <b/>
        <sz val="23"/>
        <color indexed="10"/>
        <rFont val="Arial"/>
        <family val="2"/>
      </rPr>
      <t>AND</t>
    </r>
    <r>
      <rPr>
        <sz val="23"/>
        <rFont val="Arial"/>
        <family val="2"/>
      </rPr>
      <t xml:space="preserve"> 1 additional functional group represented by minor species totaling ≥15%</t>
    </r>
  </si>
  <si>
    <t>No dominant desirable species and all minor species in each functional group totaling &lt;15%</t>
  </si>
  <si>
    <t>3 functional groups each represented by minor species totaling ≥15%</t>
  </si>
  <si>
    <r>
      <t xml:space="preserve"> 3 dominant desirable species in 2 functional groups </t>
    </r>
    <r>
      <rPr>
        <b/>
        <sz val="23"/>
        <color indexed="10"/>
        <rFont val="Arial"/>
        <family val="2"/>
      </rPr>
      <t>AND</t>
    </r>
    <r>
      <rPr>
        <sz val="23"/>
        <rFont val="Arial"/>
        <family val="2"/>
      </rPr>
      <t xml:space="preserve"> 1 additional functional group represented by minor species totaling ≥15%</t>
    </r>
  </si>
  <si>
    <r>
      <t>Plant Residue and Litter as Soil Cover</t>
    </r>
    <r>
      <rPr>
        <sz val="18"/>
        <rFont val="Arial"/>
        <family val="2"/>
      </rPr>
      <t xml:space="preserve"> (</t>
    </r>
    <r>
      <rPr>
        <i/>
        <sz val="18"/>
        <rFont val="Arial"/>
        <family val="2"/>
      </rPr>
      <t>Pull back canopy</t>
    </r>
    <r>
      <rPr>
        <sz val="18"/>
        <rFont val="Arial"/>
        <family val="2"/>
      </rPr>
      <t>)</t>
    </r>
  </si>
  <si>
    <t>Bare soil is very easily seen;</t>
  </si>
  <si>
    <t>Openings of bare soil can be seen fairly easily;</t>
  </si>
  <si>
    <t>Small openings of bare soil can be seen, but minimal;</t>
  </si>
  <si>
    <t xml:space="preserve">No bare soil is easily seen;
</t>
  </si>
  <si>
    <t>No bare soil is seen;</t>
  </si>
  <si>
    <t xml:space="preserve">There is &lt;20% cover on the soil surface or it is excessive, and slow to break down.
</t>
  </si>
  <si>
    <t xml:space="preserve">Soil cover is 21-40%.
</t>
  </si>
  <si>
    <t xml:space="preserve">Soil cover is 41-60%.
</t>
  </si>
  <si>
    <t>Soil cover is 61-80%.</t>
  </si>
  <si>
    <t>Soil cover is &gt;80% with good biological activity and decomposition of older residue.</t>
  </si>
  <si>
    <t xml:space="preserve">Grazing Utilization and Severity                </t>
  </si>
  <si>
    <t>Pasture is overgrazed throughout.</t>
  </si>
  <si>
    <t>Pasture consists primarily of overgrazed and/or refused areas (former dung areas, older plants, undesired plants).</t>
  </si>
  <si>
    <t>Pastures show uneven grazing throughout with heavier grazing near water or feeding areas, or distinct zone grazing.</t>
  </si>
  <si>
    <t>Pasture grazed evenly throughout with minimal overgrazing with some under grazed small areas and heavier use near water sources.</t>
  </si>
  <si>
    <t>Pasture grazed evenly throughout with no overgrazing.</t>
  </si>
  <si>
    <r>
      <t xml:space="preserve">*Use NRCS plant list for livestock species.  Functional groups are as appropriate for your state (cool-season grasses, legumes, warm-season grasses, non-leguminous forbs).  </t>
    </r>
    <r>
      <rPr>
        <sz val="22"/>
        <color indexed="10"/>
        <rFont val="Arial"/>
        <family val="2"/>
      </rPr>
      <t>Any time there are more undesirables than desirables, it will be 1 point.  Desirable species must total more than 50% of the total biomass.</t>
    </r>
    <r>
      <rPr>
        <sz val="22"/>
        <rFont val="Arial"/>
        <family val="2"/>
      </rPr>
      <t xml:space="preserve"> </t>
    </r>
    <r>
      <rPr>
        <sz val="22"/>
        <color indexed="10"/>
        <rFont val="Arial"/>
        <family val="2"/>
      </rPr>
      <t>Dominant species are ≥15%.  F</t>
    </r>
    <r>
      <rPr>
        <sz val="22"/>
        <color indexed="10"/>
        <rFont val="Arial"/>
        <family val="2"/>
      </rPr>
      <t xml:space="preserve">unctional groups must be ≥15% of stand to be counted.  </t>
    </r>
  </si>
  <si>
    <r>
      <t>Livestock Concentration Areas</t>
    </r>
    <r>
      <rPr>
        <sz val="18"/>
        <rFont val="Arial"/>
        <family val="2"/>
      </rPr>
      <t xml:space="preserve"> (If field &lt;1 acre, see ** footnote) </t>
    </r>
    <r>
      <rPr>
        <b/>
        <sz val="18"/>
        <rFont val="Arial"/>
        <family val="2"/>
      </rPr>
      <t xml:space="preserve">   </t>
    </r>
  </si>
  <si>
    <t>Livestock concentration areas are within 100 feet of, or are a direct conveyance to surface water, and cover more than 0.1 acre, including trails.</t>
  </si>
  <si>
    <t>Livestock concentration areas are within 100 feet of, or are a direct conveyance to surface water, and cover less than 0.1 acre, including trails.</t>
  </si>
  <si>
    <t xml:space="preserve">Livestock concentration areas are farther than 100 feet from and are not a direct conveyance to surface water, and cover more than 0.1 acre, including trails.
</t>
  </si>
  <si>
    <t>Livestock concentration areas are farther than 100 feet and are not a direct conveyance to surface water, and cover less than 0.1 acre, including trails.</t>
  </si>
  <si>
    <t>Livestock concentration areas, including trails, not present.</t>
  </si>
  <si>
    <r>
      <t xml:space="preserve">Soil Compaction and Soil Regenerative          Features </t>
    </r>
    <r>
      <rPr>
        <sz val="20"/>
        <rFont val="Arial"/>
        <family val="2"/>
      </rPr>
      <t xml:space="preserve"> (***See footnote at bottom of page)</t>
    </r>
  </si>
  <si>
    <r>
      <rPr>
        <b/>
        <sz val="23"/>
        <rFont val="Arial"/>
        <family val="2"/>
      </rPr>
      <t>Compaction:</t>
    </r>
    <r>
      <rPr>
        <sz val="23"/>
        <rFont val="Arial"/>
        <family val="2"/>
      </rPr>
      <t xml:space="preserve">  Dense or thick platy layer very distinct; </t>
    </r>
  </si>
  <si>
    <r>
      <rPr>
        <b/>
        <sz val="23"/>
        <rFont val="Arial"/>
        <family val="2"/>
      </rPr>
      <t>Compaction:</t>
    </r>
    <r>
      <rPr>
        <sz val="23"/>
        <rFont val="Arial"/>
        <family val="2"/>
      </rPr>
      <t xml:space="preserve">  Dense or moderate platy layer noticeable;</t>
    </r>
  </si>
  <si>
    <r>
      <rPr>
        <b/>
        <sz val="23"/>
        <rFont val="Arial"/>
        <family val="2"/>
      </rPr>
      <t>Compaction:</t>
    </r>
    <r>
      <rPr>
        <sz val="23"/>
        <rFont val="Arial"/>
        <family val="2"/>
      </rPr>
      <t xml:space="preserve">  Thin dense or platy layer still present;</t>
    </r>
  </si>
  <si>
    <r>
      <rPr>
        <b/>
        <sz val="23"/>
        <rFont val="Arial"/>
        <family val="2"/>
      </rPr>
      <t>Compaction:</t>
    </r>
    <r>
      <rPr>
        <sz val="23"/>
        <rFont val="Arial"/>
        <family val="2"/>
      </rPr>
      <t xml:space="preserve">  Minor dense or platy layer; good aggregates common (crumbly soil);</t>
    </r>
  </si>
  <si>
    <r>
      <rPr>
        <b/>
        <sz val="23"/>
        <rFont val="Arial"/>
        <family val="2"/>
      </rPr>
      <t>Compaction:</t>
    </r>
    <r>
      <rPr>
        <sz val="23"/>
        <rFont val="Arial"/>
        <family val="2"/>
      </rPr>
      <t xml:space="preserve">  No dense or platy layers; crumbly soil throughout;</t>
    </r>
  </si>
  <si>
    <r>
      <rPr>
        <b/>
        <sz val="23"/>
        <rFont val="Arial"/>
        <family val="2"/>
      </rPr>
      <t>Roots:</t>
    </r>
    <r>
      <rPr>
        <sz val="23"/>
        <rFont val="Arial"/>
        <family val="2"/>
      </rPr>
      <t xml:space="preserve">  Dominantly horizontal; most shallow/sparse;</t>
    </r>
  </si>
  <si>
    <r>
      <rPr>
        <b/>
        <sz val="23"/>
        <rFont val="Arial"/>
        <family val="2"/>
      </rPr>
      <t>Roots:</t>
    </r>
    <r>
      <rPr>
        <sz val="23"/>
        <rFont val="Arial"/>
        <family val="2"/>
      </rPr>
      <t xml:space="preserve">  Numerous horizontal; moderate amount shallow/sparse;</t>
    </r>
  </si>
  <si>
    <r>
      <rPr>
        <b/>
        <sz val="23"/>
        <rFont val="Arial"/>
        <family val="2"/>
      </rPr>
      <t>Roots:</t>
    </r>
    <r>
      <rPr>
        <sz val="23"/>
        <rFont val="Arial"/>
        <family val="2"/>
      </rPr>
      <t xml:space="preserve">  Some horizontal with increasing downward;</t>
    </r>
  </si>
  <si>
    <r>
      <rPr>
        <b/>
        <sz val="23"/>
        <rFont val="Arial"/>
        <family val="2"/>
      </rPr>
      <t>Roots:</t>
    </r>
    <r>
      <rPr>
        <sz val="23"/>
        <rFont val="Arial"/>
        <family val="2"/>
      </rPr>
      <t xml:space="preserve">  Few horizontal, more downward through the soil profile;</t>
    </r>
  </si>
  <si>
    <r>
      <rPr>
        <b/>
        <sz val="23"/>
        <rFont val="Arial"/>
        <family val="2"/>
      </rPr>
      <t>Roots:</t>
    </r>
    <r>
      <rPr>
        <sz val="23"/>
        <rFont val="Arial"/>
        <family val="2"/>
      </rPr>
      <t xml:space="preserve">  Abundant growth primarily downward through the soil profile;</t>
    </r>
  </si>
  <si>
    <r>
      <rPr>
        <b/>
        <sz val="23"/>
        <rFont val="Arial"/>
        <family val="2"/>
      </rPr>
      <t xml:space="preserve">Color: </t>
    </r>
    <r>
      <rPr>
        <sz val="23"/>
        <rFont val="Arial"/>
        <family val="2"/>
      </rPr>
      <t xml:space="preserve"> Surface horizon same as subsoil;</t>
    </r>
  </si>
  <si>
    <r>
      <rPr>
        <b/>
        <sz val="23"/>
        <rFont val="Arial"/>
        <family val="2"/>
      </rPr>
      <t>Color:</t>
    </r>
    <r>
      <rPr>
        <sz val="23"/>
        <rFont val="Arial"/>
        <family val="2"/>
      </rPr>
      <t xml:space="preserve">  Surface horizon moderately darker than subsoil;</t>
    </r>
  </si>
  <si>
    <r>
      <rPr>
        <b/>
        <sz val="23"/>
        <rFont val="Arial"/>
        <family val="2"/>
      </rPr>
      <t>Color:</t>
    </r>
    <r>
      <rPr>
        <sz val="23"/>
        <rFont val="Arial"/>
        <family val="2"/>
      </rPr>
      <t xml:space="preserve">  Surface horizon dramatically darker than subsoil;</t>
    </r>
  </si>
  <si>
    <r>
      <rPr>
        <b/>
        <sz val="23"/>
        <rFont val="Arial"/>
        <family val="2"/>
      </rPr>
      <t xml:space="preserve">Soil Life: </t>
    </r>
    <r>
      <rPr>
        <sz val="23"/>
        <rFont val="Arial"/>
        <family val="2"/>
      </rPr>
      <t xml:space="preserve"> Few or no signs.</t>
    </r>
  </si>
  <si>
    <r>
      <rPr>
        <b/>
        <sz val="23"/>
        <rFont val="Arial"/>
        <family val="2"/>
      </rPr>
      <t>Soil Life:</t>
    </r>
    <r>
      <rPr>
        <sz val="23"/>
        <rFont val="Arial"/>
        <family val="2"/>
      </rPr>
      <t xml:space="preserve">  Signs scattered in surface layer.</t>
    </r>
  </si>
  <si>
    <r>
      <rPr>
        <b/>
        <sz val="23"/>
        <rFont val="Arial"/>
        <family val="2"/>
      </rPr>
      <t>Soil Life:</t>
    </r>
    <r>
      <rPr>
        <sz val="23"/>
        <rFont val="Arial"/>
        <family val="2"/>
      </rPr>
      <t xml:space="preserve">  Signs scattered throughout.
</t>
    </r>
  </si>
  <si>
    <r>
      <rPr>
        <b/>
        <sz val="23"/>
        <rFont val="Arial"/>
        <family val="2"/>
      </rPr>
      <t>Soil Life:</t>
    </r>
    <r>
      <rPr>
        <sz val="23"/>
        <rFont val="Arial"/>
        <family val="2"/>
      </rPr>
      <t xml:space="preserve">  Signs numerous throughout.</t>
    </r>
  </si>
  <si>
    <r>
      <rPr>
        <b/>
        <sz val="23"/>
        <rFont val="Arial"/>
        <family val="2"/>
      </rPr>
      <t>Soil Life:</t>
    </r>
    <r>
      <rPr>
        <sz val="23"/>
        <rFont val="Arial"/>
        <family val="2"/>
      </rPr>
      <t xml:space="preserve">  Signs abundant throughout.</t>
    </r>
  </si>
  <si>
    <t xml:space="preserve">Plant Vigor
</t>
  </si>
  <si>
    <t>No plant recovery after grazing/harvest.  Pale, yellow or brown, or severe stunting of desirable forage.</t>
  </si>
  <si>
    <t>Some recovery.  Yellowish green forage, or moderately or slight stunting of desirable forage.</t>
  </si>
  <si>
    <t xml:space="preserve">Adequate recovery of desirable forage.  Yellowish and dark green areas due to manure and urine patches.
</t>
  </si>
  <si>
    <t>Good recovery of desirable forage.  Light green and dark green forage present.</t>
  </si>
  <si>
    <t>Rapid recovery of desirable forage.  All healthy green forage.</t>
  </si>
  <si>
    <r>
      <rPr>
        <b/>
        <sz val="22"/>
        <rFont val="Arial"/>
        <family val="2"/>
      </rPr>
      <t>Erosion</t>
    </r>
    <r>
      <rPr>
        <b/>
        <sz val="20"/>
        <rFont val="Arial"/>
        <family val="2"/>
      </rPr>
      <t xml:space="preserve">                                                                                                                </t>
    </r>
    <r>
      <rPr>
        <sz val="20"/>
        <rFont val="Arial"/>
        <family val="2"/>
      </rPr>
      <t xml:space="preserve">  (Circle all that apply; the overall indicator score                                                                                                                              will be the lowest rating indicated)
</t>
    </r>
  </si>
  <si>
    <r>
      <rPr>
        <b/>
        <sz val="23"/>
        <rFont val="Arial"/>
        <family val="2"/>
      </rPr>
      <t>Sheet and Rill:</t>
    </r>
    <r>
      <rPr>
        <sz val="23"/>
        <rFont val="Arial"/>
        <family val="2"/>
      </rPr>
      <t xml:space="preserve">  Plant density is insufficient to stop runoff, with poor infiltration.  Erosion easily visible throughout pasture;</t>
    </r>
  </si>
  <si>
    <r>
      <rPr>
        <b/>
        <sz val="23"/>
        <rFont val="Arial"/>
        <family val="2"/>
      </rPr>
      <t xml:space="preserve">Sheet and Rill: </t>
    </r>
    <r>
      <rPr>
        <sz val="23"/>
        <rFont val="Arial"/>
        <family val="2"/>
      </rPr>
      <t xml:space="preserve"> Plant density slows runoff.  Erosion present and easily seen on steeper terrain;</t>
    </r>
  </si>
  <si>
    <r>
      <rPr>
        <b/>
        <sz val="23"/>
        <rFont val="Arial"/>
        <family val="2"/>
      </rPr>
      <t>Sheet and Rill:</t>
    </r>
    <r>
      <rPr>
        <sz val="23"/>
        <rFont val="Arial"/>
        <family val="2"/>
      </rPr>
      <t xml:space="preserve">  Plant density good and runoff moderate.  If present, erosion concentrated on heavily used areas;</t>
    </r>
  </si>
  <si>
    <r>
      <rPr>
        <b/>
        <sz val="23"/>
        <rFont val="Arial"/>
        <family val="2"/>
      </rPr>
      <t xml:space="preserve">Sheet and Rill: </t>
    </r>
    <r>
      <rPr>
        <sz val="23"/>
        <rFont val="Arial"/>
        <family val="2"/>
      </rPr>
      <t xml:space="preserve"> Plant density high, runoff low, good infiltration.  May have evidence of past erosion if present;</t>
    </r>
  </si>
  <si>
    <r>
      <rPr>
        <b/>
        <sz val="23"/>
        <rFont val="Arial"/>
        <family val="2"/>
      </rPr>
      <t xml:space="preserve">Sheet and Rill: </t>
    </r>
    <r>
      <rPr>
        <sz val="23"/>
        <rFont val="Arial"/>
        <family val="2"/>
      </rPr>
      <t xml:space="preserve"> Plant density high, no runoff, good infiltration.  No evidence of present or past erosion;</t>
    </r>
  </si>
  <si>
    <r>
      <rPr>
        <b/>
        <sz val="23"/>
        <rFont val="Arial"/>
        <family val="2"/>
      </rPr>
      <t>Wind:</t>
    </r>
    <r>
      <rPr>
        <sz val="23"/>
        <rFont val="Arial"/>
        <family val="2"/>
      </rPr>
      <t xml:space="preserve"> Severe scoured areas and deposition throughout;</t>
    </r>
  </si>
  <si>
    <r>
      <rPr>
        <b/>
        <sz val="23"/>
        <rFont val="Arial"/>
        <family val="2"/>
      </rPr>
      <t>Wind:</t>
    </r>
    <r>
      <rPr>
        <sz val="23"/>
        <rFont val="Arial"/>
        <family val="2"/>
      </rPr>
      <t xml:space="preserve"> Scoured areas common, deposition effecting plants;</t>
    </r>
  </si>
  <si>
    <r>
      <rPr>
        <b/>
        <sz val="23"/>
        <rFont val="Arial"/>
        <family val="2"/>
      </rPr>
      <t xml:space="preserve">Wind: </t>
    </r>
    <r>
      <rPr>
        <sz val="23"/>
        <rFont val="Arial"/>
        <family val="2"/>
      </rPr>
      <t xml:space="preserve">Occasional scoured areas, litter windrolled; </t>
    </r>
  </si>
  <si>
    <r>
      <rPr>
        <b/>
        <sz val="23"/>
        <rFont val="Arial"/>
        <family val="2"/>
      </rPr>
      <t>Wind:</t>
    </r>
    <r>
      <rPr>
        <sz val="23"/>
        <rFont val="Arial"/>
        <family val="2"/>
      </rPr>
      <t xml:space="preserve"> Minimal soil exposed, some detatched vegetation windrolled, minor plant damage;</t>
    </r>
  </si>
  <si>
    <r>
      <rPr>
        <b/>
        <sz val="23"/>
        <rFont val="Arial"/>
        <family val="2"/>
      </rPr>
      <t>Wind:</t>
    </r>
    <r>
      <rPr>
        <sz val="23"/>
        <rFont val="Arial"/>
        <family val="2"/>
      </rPr>
      <t xml:space="preserve"> No exposed soil; </t>
    </r>
  </si>
  <si>
    <r>
      <rPr>
        <b/>
        <sz val="23"/>
        <rFont val="Arial"/>
        <family val="2"/>
      </rPr>
      <t>Streambank and/or Shoreline:</t>
    </r>
    <r>
      <rPr>
        <sz val="23"/>
        <rFont val="Arial"/>
        <family val="2"/>
      </rPr>
      <t xml:space="preserve"> Banks bare, major sloughing, no bank vegetation;</t>
    </r>
  </si>
  <si>
    <r>
      <rPr>
        <b/>
        <sz val="23"/>
        <rFont val="Arial"/>
        <family val="2"/>
      </rPr>
      <t>Streambank and/or Shoreline:</t>
    </r>
    <r>
      <rPr>
        <sz val="23"/>
        <rFont val="Arial"/>
        <family val="2"/>
      </rPr>
      <t xml:space="preserve"> More than half the bank vegetation trampled; sloughing.</t>
    </r>
  </si>
  <si>
    <r>
      <rPr>
        <b/>
        <sz val="23"/>
        <rFont val="Arial"/>
        <family val="2"/>
      </rPr>
      <t>Streambank and/or Shoreline:</t>
    </r>
    <r>
      <rPr>
        <sz val="23"/>
        <rFont val="Arial"/>
        <family val="2"/>
      </rPr>
      <t xml:space="preserve"> Less than half the bank vegetation trampled; eroding at crossing/entrances. </t>
    </r>
  </si>
  <si>
    <r>
      <rPr>
        <b/>
        <sz val="23"/>
        <rFont val="Arial"/>
        <family val="2"/>
      </rPr>
      <t>Streambank and/or Shoreline:</t>
    </r>
    <r>
      <rPr>
        <sz val="23"/>
        <rFont val="Arial"/>
        <family val="2"/>
      </rPr>
      <t xml:space="preserve"> Eroding at crossings, entrances; all the bank vegetation is intact and banks are stable.</t>
    </r>
  </si>
  <si>
    <r>
      <rPr>
        <b/>
        <sz val="23"/>
        <rFont val="Arial"/>
        <family val="2"/>
      </rPr>
      <t>Streambank and/or Shoreline: V</t>
    </r>
    <r>
      <rPr>
        <sz val="23"/>
        <rFont val="Arial"/>
        <family val="2"/>
      </rPr>
      <t xml:space="preserve">egetation intact and stable, hardened crossings and alternative water sources used; </t>
    </r>
  </si>
  <si>
    <r>
      <rPr>
        <b/>
        <sz val="23"/>
        <rFont val="Arial"/>
        <family val="2"/>
      </rPr>
      <t>Gully:</t>
    </r>
    <r>
      <rPr>
        <sz val="23"/>
        <rFont val="Arial"/>
        <family val="2"/>
      </rPr>
      <t xml:space="preserve"> Very large mass movement, caving sides.</t>
    </r>
  </si>
  <si>
    <r>
      <rPr>
        <b/>
        <sz val="23"/>
        <rFont val="Arial"/>
        <family val="2"/>
      </rPr>
      <t>Gully:</t>
    </r>
    <r>
      <rPr>
        <sz val="23"/>
        <rFont val="Arial"/>
        <family val="2"/>
      </rPr>
      <t xml:space="preserve"> Advancing upslope, increasing fingering extensions.</t>
    </r>
  </si>
  <si>
    <r>
      <rPr>
        <b/>
        <sz val="23"/>
        <rFont val="Arial"/>
        <family val="2"/>
      </rPr>
      <t>Gully:</t>
    </r>
    <r>
      <rPr>
        <sz val="23"/>
        <rFont val="Arial"/>
        <family val="2"/>
      </rPr>
      <t xml:space="preserve"> Not all active but extensions present.</t>
    </r>
  </si>
  <si>
    <r>
      <rPr>
        <b/>
        <sz val="23"/>
        <rFont val="Arial"/>
        <family val="2"/>
      </rPr>
      <t>Gully:</t>
    </r>
    <r>
      <rPr>
        <sz val="23"/>
        <rFont val="Arial"/>
        <family val="2"/>
      </rPr>
      <t xml:space="preserve"> Stable with vegetative cover.</t>
    </r>
  </si>
  <si>
    <r>
      <rPr>
        <b/>
        <sz val="23"/>
        <rFont val="Arial"/>
        <family val="2"/>
      </rPr>
      <t>Gully:</t>
    </r>
    <r>
      <rPr>
        <sz val="23"/>
        <rFont val="Arial"/>
        <family val="2"/>
      </rPr>
      <t xml:space="preserve"> None, drainage ways vegetative.</t>
    </r>
  </si>
  <si>
    <t>** If field size is less than 1 ac. Use 10% of field size in place of 0.1 acre.  ***Use a shovel.  Root and Compaction subindicators are primary and should be considered first.  Soil color and soil life are secondary subindicators which can be considered where applicable.</t>
  </si>
  <si>
    <t>Overall Pasture Condition Score</t>
  </si>
  <si>
    <t>Individual 
Indicator Score</t>
  </si>
  <si>
    <t>Management Change Suggested</t>
  </si>
  <si>
    <t xml:space="preserve">Overall Pasture Condition Score =  </t>
  </si>
  <si>
    <t>45 to 50</t>
  </si>
  <si>
    <t>No changes in management needed at this time.</t>
  </si>
  <si>
    <t>35 to 45</t>
  </si>
  <si>
    <t>Minor changes would enhance, do most beneficial first.</t>
  </si>
  <si>
    <t xml:space="preserve"> 25 to 35</t>
  </si>
  <si>
    <t>Improvements would benefit productivity and/or environment.</t>
  </si>
  <si>
    <t>15 to 25</t>
  </si>
  <si>
    <t>Needs immediate management changes, high return likely.</t>
  </si>
  <si>
    <t>10 to 15</t>
  </si>
  <si>
    <t>Major effort required in time, management and expense.</t>
  </si>
  <si>
    <t>Comments/Notes:</t>
  </si>
  <si>
    <t>=Form!$B$7</t>
  </si>
  <si>
    <r>
      <rPr>
        <b/>
        <sz val="13"/>
        <rFont val="Arial"/>
        <family val="2"/>
      </rPr>
      <t>Pasture Condition Score Sheet</t>
    </r>
  </si>
  <si>
    <t>Current Season's Precipitation :</t>
  </si>
  <si>
    <t>Seasonal Temperature Trend :</t>
  </si>
  <si>
    <t>** If field size is less than 1 ac. Use 10% of field size in place of 0.1 acre.  ***Use a shovel.  Root and Compaction subindicators are primary and should be considered first. Soil color and soil life are secondary sub-indicators which can be considered where applicable.</t>
  </si>
  <si>
    <t>Overall PCS Score</t>
  </si>
  <si>
    <t>Individual Indicator Score</t>
  </si>
  <si>
    <t>Overall Pasture Condition Score =</t>
  </si>
  <si>
    <t>25 to 35</t>
  </si>
  <si>
    <t>County:</t>
  </si>
  <si>
    <t>Bristol</t>
  </si>
  <si>
    <t>Kent</t>
  </si>
  <si>
    <t>Newport</t>
  </si>
  <si>
    <t>Providence</t>
  </si>
  <si>
    <t>Washington</t>
  </si>
  <si>
    <t>Desirable species 20 – 40% of stand.</t>
  </si>
  <si>
    <t>Desirable species 41 – 60% of stand.</t>
  </si>
  <si>
    <t>Desirable species 61 – 80% of stand.</t>
  </si>
  <si>
    <t>Desirable species exceed 80% of stand.</t>
  </si>
  <si>
    <t>Percent Legume by Dry Weight</t>
  </si>
  <si>
    <t>11-20% legumes.</t>
  </si>
  <si>
    <t>21-30% legumes.</t>
  </si>
  <si>
    <t>31-40% legumes. No grass loss; grass may be increasing.</t>
  </si>
  <si>
    <t>Live (includes dormant) Plant Cover</t>
  </si>
  <si>
    <t>&lt;50% desirable species</t>
  </si>
  <si>
    <t>2 dominant desirable species in 1 functional group</t>
  </si>
  <si>
    <t>No bare soil is easily seen;</t>
  </si>
  <si>
    <t>There is &lt;20% cover on the soil surface or it is excessive, and slow to break down.</t>
  </si>
  <si>
    <t>Soil cover is 21-40%.</t>
  </si>
  <si>
    <t>Soil cover is 41-60%.</t>
  </si>
  <si>
    <t>Grazing Utilization and Severity</t>
  </si>
  <si>
    <t>Livestock concentration areas are farther than 100 feet from and are not a direct conveyance to surface water, and cover more than 0.1 acre, including trails.</t>
  </si>
  <si>
    <t>Plant Vigor</t>
  </si>
  <si>
    <t>Some recovery. Yellowish green forage, or moderately or slight stunting of desirable forage.</t>
  </si>
  <si>
    <t>Adequate recovery of desirable forage. Yellowish and dark green areas due to manure and urine patches.</t>
  </si>
  <si>
    <r>
      <rPr>
        <b/>
        <sz val="6.5"/>
        <rFont val="Calibri"/>
        <family val="2"/>
        <scheme val="minor"/>
      </rPr>
      <t xml:space="preserve">Percent Desirable Plants* </t>
    </r>
    <r>
      <rPr>
        <sz val="6.5"/>
        <rFont val="Calibri"/>
        <family val="2"/>
        <scheme val="minor"/>
      </rPr>
      <t>(Dry Weight; for Livestock Type)</t>
    </r>
  </si>
  <si>
    <r>
      <rPr>
        <sz val="8"/>
        <rFont val="Calibri"/>
        <family val="2"/>
        <scheme val="minor"/>
      </rPr>
      <t>Desirable species
&lt;20% of stand.</t>
    </r>
  </si>
  <si>
    <r>
      <rPr>
        <sz val="8"/>
        <rFont val="Calibri"/>
        <family val="2"/>
        <scheme val="minor"/>
      </rPr>
      <t xml:space="preserve">&lt;5%
</t>
    </r>
    <r>
      <rPr>
        <b/>
        <sz val="8"/>
        <color rgb="FFFF0000"/>
        <rFont val="Calibri"/>
        <family val="2"/>
        <scheme val="minor"/>
      </rPr>
      <t xml:space="preserve">OR
</t>
    </r>
    <r>
      <rPr>
        <sz val="8"/>
        <rFont val="Calibri"/>
        <family val="2"/>
        <scheme val="minor"/>
      </rPr>
      <t>&gt;50% bloating legumes.</t>
    </r>
  </si>
  <si>
    <r>
      <rPr>
        <sz val="8"/>
        <rFont val="Calibri"/>
        <family val="2"/>
        <scheme val="minor"/>
      </rPr>
      <t xml:space="preserve">5-10% legumes
</t>
    </r>
    <r>
      <rPr>
        <b/>
        <sz val="8"/>
        <color rgb="FFFF0000"/>
        <rFont val="Calibri"/>
        <family val="2"/>
        <scheme val="minor"/>
      </rPr>
      <t xml:space="preserve">OR
</t>
    </r>
    <r>
      <rPr>
        <sz val="8"/>
        <rFont val="Calibri"/>
        <family val="2"/>
        <scheme val="minor"/>
      </rPr>
      <t>&gt;40% bloating legume.</t>
    </r>
  </si>
  <si>
    <r>
      <rPr>
        <sz val="8"/>
        <rFont val="Calibri"/>
        <family val="2"/>
        <scheme val="minor"/>
      </rPr>
      <t>Less than 40% is live leaf canopy.
Remaining is either dead standing material, or bare ground.</t>
    </r>
  </si>
  <si>
    <r>
      <rPr>
        <b/>
        <sz val="8"/>
        <rFont val="Calibri"/>
        <family val="2"/>
        <scheme val="minor"/>
      </rPr>
      <t xml:space="preserve">Diversity:  </t>
    </r>
    <r>
      <rPr>
        <sz val="8"/>
        <rFont val="Calibri"/>
        <family val="2"/>
        <scheme val="minor"/>
      </rPr>
      <t>Very low</t>
    </r>
  </si>
  <si>
    <r>
      <rPr>
        <b/>
        <sz val="8"/>
        <rFont val="Calibri"/>
        <family val="2"/>
        <scheme val="minor"/>
      </rPr>
      <t>Diversity</t>
    </r>
    <r>
      <rPr>
        <sz val="8"/>
        <rFont val="Calibri"/>
        <family val="2"/>
        <scheme val="minor"/>
      </rPr>
      <t>:  Low</t>
    </r>
  </si>
  <si>
    <r>
      <rPr>
        <b/>
        <sz val="8"/>
        <rFont val="Calibri"/>
        <family val="2"/>
        <scheme val="minor"/>
      </rPr>
      <t xml:space="preserve">Diversity:  </t>
    </r>
    <r>
      <rPr>
        <sz val="8"/>
        <rFont val="Calibri"/>
        <family val="2"/>
        <scheme val="minor"/>
      </rPr>
      <t>Moderate</t>
    </r>
  </si>
  <si>
    <r>
      <rPr>
        <b/>
        <sz val="8"/>
        <rFont val="Calibri"/>
        <family val="2"/>
        <scheme val="minor"/>
      </rPr>
      <t xml:space="preserve">Diversity:  </t>
    </r>
    <r>
      <rPr>
        <sz val="8"/>
        <rFont val="Calibri"/>
        <family val="2"/>
        <scheme val="minor"/>
      </rPr>
      <t>High</t>
    </r>
  </si>
  <si>
    <r>
      <rPr>
        <b/>
        <sz val="8"/>
        <rFont val="Calibri"/>
        <family val="2"/>
        <scheme val="minor"/>
      </rPr>
      <t xml:space="preserve">Diversity:  </t>
    </r>
    <r>
      <rPr>
        <sz val="8"/>
        <rFont val="Calibri"/>
        <family val="2"/>
        <scheme val="minor"/>
      </rPr>
      <t>Very high</t>
    </r>
  </si>
  <si>
    <r>
      <rPr>
        <b/>
        <sz val="8"/>
        <color rgb="FFFF0000"/>
        <rFont val="Calibri"/>
        <family val="2"/>
        <scheme val="minor"/>
      </rPr>
      <t>OR</t>
    </r>
  </si>
  <si>
    <r>
      <rPr>
        <sz val="8"/>
        <rFont val="Calibri"/>
        <family val="2"/>
        <scheme val="minor"/>
      </rPr>
      <t xml:space="preserve">4 dominant desirable species in 2 functional groups </t>
    </r>
    <r>
      <rPr>
        <b/>
        <sz val="8"/>
        <color rgb="FFFF0000"/>
        <rFont val="Calibri"/>
        <family val="2"/>
        <scheme val="minor"/>
      </rPr>
      <t xml:space="preserve">AND </t>
    </r>
    <r>
      <rPr>
        <sz val="8"/>
        <rFont val="Calibri"/>
        <family val="2"/>
        <scheme val="minor"/>
      </rPr>
      <t>1 additional functional group represented by minor species totaling
≥15%</t>
    </r>
  </si>
  <si>
    <r>
      <rPr>
        <sz val="8"/>
        <rFont val="Calibri"/>
        <family val="2"/>
        <scheme val="minor"/>
      </rPr>
      <t xml:space="preserve">3 dominant desirable species in 2 functional groups </t>
    </r>
    <r>
      <rPr>
        <b/>
        <sz val="8"/>
        <color rgb="FFFF0000"/>
        <rFont val="Calibri"/>
        <family val="2"/>
        <scheme val="minor"/>
      </rPr>
      <t xml:space="preserve">AND </t>
    </r>
    <r>
      <rPr>
        <sz val="8"/>
        <rFont val="Calibri"/>
        <family val="2"/>
        <scheme val="minor"/>
      </rPr>
      <t>1 additional functional group represented by minor species totaling
≥15%</t>
    </r>
  </si>
  <si>
    <r>
      <rPr>
        <b/>
        <sz val="6.5"/>
        <rFont val="Calibri"/>
        <family val="2"/>
        <scheme val="minor"/>
      </rPr>
      <t xml:space="preserve">Plant Residue and Litter as Soil Cover </t>
    </r>
    <r>
      <rPr>
        <sz val="6.5"/>
        <rFont val="Calibri"/>
        <family val="2"/>
        <scheme val="minor"/>
      </rPr>
      <t>(</t>
    </r>
    <r>
      <rPr>
        <i/>
        <sz val="6.5"/>
        <rFont val="Calibri"/>
        <family val="2"/>
        <scheme val="minor"/>
      </rPr>
      <t xml:space="preserve">Pull back canopy </t>
    </r>
    <r>
      <rPr>
        <sz val="6.5"/>
        <rFont val="Calibri"/>
        <family val="2"/>
        <scheme val="minor"/>
      </rPr>
      <t>)</t>
    </r>
  </si>
  <si>
    <r>
      <rPr>
        <b/>
        <sz val="6.5"/>
        <rFont val="Calibri"/>
        <family val="2"/>
        <scheme val="minor"/>
      </rPr>
      <t xml:space="preserve">Livestock Concentration Areas </t>
    </r>
    <r>
      <rPr>
        <sz val="6.5"/>
        <rFont val="Calibri"/>
        <family val="2"/>
        <scheme val="minor"/>
      </rPr>
      <t>(If field &lt;1 acre, see ** footnote)</t>
    </r>
  </si>
  <si>
    <r>
      <rPr>
        <b/>
        <sz val="8"/>
        <rFont val="Calibri"/>
        <family val="2"/>
        <scheme val="minor"/>
      </rPr>
      <t xml:space="preserve">Compaction:  </t>
    </r>
    <r>
      <rPr>
        <sz val="8"/>
        <rFont val="Calibri"/>
        <family val="2"/>
        <scheme val="minor"/>
      </rPr>
      <t>Dense or thick platy layer very distinct;</t>
    </r>
  </si>
  <si>
    <r>
      <rPr>
        <b/>
        <sz val="8"/>
        <rFont val="Calibri"/>
        <family val="2"/>
        <scheme val="minor"/>
      </rPr>
      <t xml:space="preserve">Compaction:  </t>
    </r>
    <r>
      <rPr>
        <sz val="8"/>
        <rFont val="Calibri"/>
        <family val="2"/>
        <scheme val="minor"/>
      </rPr>
      <t>Dense or moderate platy layer noticeable;</t>
    </r>
  </si>
  <si>
    <r>
      <rPr>
        <b/>
        <sz val="8"/>
        <rFont val="Calibri"/>
        <family val="2"/>
        <scheme val="minor"/>
      </rPr>
      <t xml:space="preserve">Compaction:  </t>
    </r>
    <r>
      <rPr>
        <sz val="8"/>
        <rFont val="Calibri"/>
        <family val="2"/>
        <scheme val="minor"/>
      </rPr>
      <t>Thin dense or platy layer still present;</t>
    </r>
  </si>
  <si>
    <r>
      <rPr>
        <b/>
        <sz val="8"/>
        <rFont val="Calibri"/>
        <family val="2"/>
        <scheme val="minor"/>
      </rPr>
      <t xml:space="preserve">Compaction:  </t>
    </r>
    <r>
      <rPr>
        <sz val="8"/>
        <rFont val="Calibri"/>
        <family val="2"/>
        <scheme val="minor"/>
      </rPr>
      <t>Minor dense or platy layer; good aggregates common (crumbly soil);</t>
    </r>
  </si>
  <si>
    <r>
      <rPr>
        <b/>
        <sz val="8"/>
        <rFont val="Calibri"/>
        <family val="2"/>
        <scheme val="minor"/>
      </rPr>
      <t xml:space="preserve">Compaction:  </t>
    </r>
    <r>
      <rPr>
        <sz val="8"/>
        <rFont val="Calibri"/>
        <family val="2"/>
        <scheme val="minor"/>
      </rPr>
      <t>No dense or platy layers; crumbly soil throughout;</t>
    </r>
  </si>
  <si>
    <r>
      <rPr>
        <b/>
        <sz val="8"/>
        <rFont val="Calibri"/>
        <family val="2"/>
        <scheme val="minor"/>
      </rPr>
      <t xml:space="preserve">Roots:  </t>
    </r>
    <r>
      <rPr>
        <sz val="8"/>
        <rFont val="Calibri"/>
        <family val="2"/>
        <scheme val="minor"/>
      </rPr>
      <t>Dominantly horizontal; most shallow/sparse;</t>
    </r>
  </si>
  <si>
    <r>
      <rPr>
        <b/>
        <sz val="8"/>
        <rFont val="Calibri"/>
        <family val="2"/>
        <scheme val="minor"/>
      </rPr>
      <t xml:space="preserve">Roots:  </t>
    </r>
    <r>
      <rPr>
        <sz val="8"/>
        <rFont val="Calibri"/>
        <family val="2"/>
        <scheme val="minor"/>
      </rPr>
      <t>Numerous horizontal; moderate amount shallow/sparse;</t>
    </r>
  </si>
  <si>
    <r>
      <rPr>
        <b/>
        <sz val="8"/>
        <rFont val="Calibri"/>
        <family val="2"/>
        <scheme val="minor"/>
      </rPr>
      <t xml:space="preserve">Roots:  </t>
    </r>
    <r>
      <rPr>
        <sz val="8"/>
        <rFont val="Calibri"/>
        <family val="2"/>
        <scheme val="minor"/>
      </rPr>
      <t>Some horizontal with increasing downward;</t>
    </r>
  </si>
  <si>
    <r>
      <rPr>
        <b/>
        <sz val="8"/>
        <rFont val="Calibri"/>
        <family val="2"/>
        <scheme val="minor"/>
      </rPr>
      <t xml:space="preserve">Roots:  </t>
    </r>
    <r>
      <rPr>
        <sz val="8"/>
        <rFont val="Calibri"/>
        <family val="2"/>
        <scheme val="minor"/>
      </rPr>
      <t>Few horizontal, more downward through the soil profile;</t>
    </r>
  </si>
  <si>
    <r>
      <rPr>
        <b/>
        <sz val="8"/>
        <rFont val="Calibri"/>
        <family val="2"/>
        <scheme val="minor"/>
      </rPr>
      <t xml:space="preserve">Roots:  </t>
    </r>
    <r>
      <rPr>
        <sz val="8"/>
        <rFont val="Calibri"/>
        <family val="2"/>
        <scheme val="minor"/>
      </rPr>
      <t>Abundant growth primarily downward through the soil profile;</t>
    </r>
  </si>
  <si>
    <r>
      <rPr>
        <b/>
        <sz val="8"/>
        <rFont val="Calibri"/>
        <family val="2"/>
        <scheme val="minor"/>
      </rPr>
      <t xml:space="preserve">Color:  </t>
    </r>
    <r>
      <rPr>
        <sz val="8"/>
        <rFont val="Calibri"/>
        <family val="2"/>
        <scheme val="minor"/>
      </rPr>
      <t>Surface horizon same as subsoil;</t>
    </r>
  </si>
  <si>
    <r>
      <rPr>
        <b/>
        <sz val="8"/>
        <rFont val="Calibri"/>
        <family val="2"/>
        <scheme val="minor"/>
      </rPr>
      <t xml:space="preserve">Color:  </t>
    </r>
    <r>
      <rPr>
        <sz val="8"/>
        <rFont val="Calibri"/>
        <family val="2"/>
        <scheme val="minor"/>
      </rPr>
      <t>Surface horizon moderately darker than subsoil;</t>
    </r>
  </si>
  <si>
    <r>
      <rPr>
        <b/>
        <sz val="8"/>
        <rFont val="Calibri"/>
        <family val="2"/>
        <scheme val="minor"/>
      </rPr>
      <t xml:space="preserve">Color:  </t>
    </r>
    <r>
      <rPr>
        <sz val="8"/>
        <rFont val="Calibri"/>
        <family val="2"/>
        <scheme val="minor"/>
      </rPr>
      <t>Surface horizon dramatically darker than subsoil;</t>
    </r>
  </si>
  <si>
    <r>
      <rPr>
        <b/>
        <sz val="8"/>
        <rFont val="Calibri"/>
        <family val="2"/>
        <scheme val="minor"/>
      </rPr>
      <t xml:space="preserve">Soil Life:  </t>
    </r>
    <r>
      <rPr>
        <sz val="8"/>
        <rFont val="Calibri"/>
        <family val="2"/>
        <scheme val="minor"/>
      </rPr>
      <t>Few or no signs.</t>
    </r>
  </si>
  <si>
    <r>
      <rPr>
        <b/>
        <sz val="8"/>
        <rFont val="Calibri"/>
        <family val="2"/>
        <scheme val="minor"/>
      </rPr>
      <t xml:space="preserve">Soil Life:  </t>
    </r>
    <r>
      <rPr>
        <sz val="8"/>
        <rFont val="Calibri"/>
        <family val="2"/>
        <scheme val="minor"/>
      </rPr>
      <t>Signs scattered in surface layer.</t>
    </r>
  </si>
  <si>
    <r>
      <rPr>
        <b/>
        <sz val="8"/>
        <rFont val="Calibri"/>
        <family val="2"/>
        <scheme val="minor"/>
      </rPr>
      <t xml:space="preserve">Soil Life:  </t>
    </r>
    <r>
      <rPr>
        <sz val="8"/>
        <rFont val="Calibri"/>
        <family val="2"/>
        <scheme val="minor"/>
      </rPr>
      <t>Signs scattered throughout.</t>
    </r>
  </si>
  <si>
    <r>
      <rPr>
        <b/>
        <sz val="8"/>
        <rFont val="Calibri"/>
        <family val="2"/>
        <scheme val="minor"/>
      </rPr>
      <t xml:space="preserve">Soil Life:  </t>
    </r>
    <r>
      <rPr>
        <sz val="8"/>
        <rFont val="Calibri"/>
        <family val="2"/>
        <scheme val="minor"/>
      </rPr>
      <t>Signs numerous throughout.</t>
    </r>
  </si>
  <si>
    <r>
      <rPr>
        <b/>
        <sz val="8"/>
        <rFont val="Calibri"/>
        <family val="2"/>
        <scheme val="minor"/>
      </rPr>
      <t xml:space="preserve">Soil Life:  </t>
    </r>
    <r>
      <rPr>
        <sz val="8"/>
        <rFont val="Calibri"/>
        <family val="2"/>
        <scheme val="minor"/>
      </rPr>
      <t>Signs abundant throughout.</t>
    </r>
  </si>
  <si>
    <r>
      <rPr>
        <b/>
        <sz val="8"/>
        <rFont val="Calibri"/>
        <family val="2"/>
        <scheme val="minor"/>
      </rPr>
      <t xml:space="preserve">Erosion
</t>
    </r>
    <r>
      <rPr>
        <sz val="7"/>
        <rFont val="Calibri"/>
        <family val="2"/>
        <scheme val="minor"/>
      </rPr>
      <t>(Circle all that apply; the overall indicator score will be the lowest rating indicated)</t>
    </r>
  </si>
  <si>
    <r>
      <rPr>
        <b/>
        <sz val="8"/>
        <rFont val="Calibri"/>
        <family val="2"/>
        <scheme val="minor"/>
      </rPr>
      <t xml:space="preserve">Sheet and Rill:  </t>
    </r>
    <r>
      <rPr>
        <sz val="8"/>
        <rFont val="Calibri"/>
        <family val="2"/>
        <scheme val="minor"/>
      </rPr>
      <t>Plant density is insufficient to stop runoff, with poor infiltration.
Erosion easily visible throughout pasture;</t>
    </r>
  </si>
  <si>
    <r>
      <rPr>
        <b/>
        <sz val="8"/>
        <rFont val="Calibri"/>
        <family val="2"/>
        <scheme val="minor"/>
      </rPr>
      <t xml:space="preserve">Sheet and Rill:  </t>
    </r>
    <r>
      <rPr>
        <sz val="8"/>
        <rFont val="Calibri"/>
        <family val="2"/>
        <scheme val="minor"/>
      </rPr>
      <t>Plant density slows runoff. Erosion present and easily seen on steeper terrain;</t>
    </r>
  </si>
  <si>
    <r>
      <rPr>
        <b/>
        <sz val="8"/>
        <rFont val="Calibri"/>
        <family val="2"/>
        <scheme val="minor"/>
      </rPr>
      <t xml:space="preserve">Sheet and Rill:  </t>
    </r>
    <r>
      <rPr>
        <sz val="8"/>
        <rFont val="Calibri"/>
        <family val="2"/>
        <scheme val="minor"/>
      </rPr>
      <t>Plant density good and runoff moderate.  If present, erosion concentrated on heavily used areas;</t>
    </r>
  </si>
  <si>
    <r>
      <rPr>
        <b/>
        <sz val="8"/>
        <rFont val="Calibri"/>
        <family val="2"/>
        <scheme val="minor"/>
      </rPr>
      <t xml:space="preserve">Sheet and Rill:  </t>
    </r>
    <r>
      <rPr>
        <sz val="8"/>
        <rFont val="Calibri"/>
        <family val="2"/>
        <scheme val="minor"/>
      </rPr>
      <t>Plant density high, runoff low, good infiltration. May have evidence of past erosion if present;</t>
    </r>
  </si>
  <si>
    <r>
      <rPr>
        <b/>
        <sz val="8"/>
        <rFont val="Calibri"/>
        <family val="2"/>
        <scheme val="minor"/>
      </rPr>
      <t xml:space="preserve">Sheet and Rill:  </t>
    </r>
    <r>
      <rPr>
        <sz val="8"/>
        <rFont val="Calibri"/>
        <family val="2"/>
        <scheme val="minor"/>
      </rPr>
      <t>Plant density high, no runoff, good infiltration.  No evidence of present or past erosion;</t>
    </r>
  </si>
  <si>
    <r>
      <rPr>
        <b/>
        <sz val="8"/>
        <rFont val="Calibri"/>
        <family val="2"/>
        <scheme val="minor"/>
      </rPr>
      <t xml:space="preserve">Wind: </t>
    </r>
    <r>
      <rPr>
        <sz val="8"/>
        <rFont val="Calibri"/>
        <family val="2"/>
        <scheme val="minor"/>
      </rPr>
      <t>Severe scoured areas and deposition throughout;</t>
    </r>
  </si>
  <si>
    <r>
      <rPr>
        <b/>
        <sz val="8"/>
        <rFont val="Calibri"/>
        <family val="2"/>
        <scheme val="minor"/>
      </rPr>
      <t xml:space="preserve">Wind: </t>
    </r>
    <r>
      <rPr>
        <sz val="8"/>
        <rFont val="Calibri"/>
        <family val="2"/>
        <scheme val="minor"/>
      </rPr>
      <t>Scoured areas common, deposition effecting plants;</t>
    </r>
  </si>
  <si>
    <r>
      <rPr>
        <b/>
        <sz val="8"/>
        <rFont val="Calibri"/>
        <family val="2"/>
        <scheme val="minor"/>
      </rPr>
      <t xml:space="preserve">Wind: </t>
    </r>
    <r>
      <rPr>
        <sz val="8"/>
        <rFont val="Calibri"/>
        <family val="2"/>
        <scheme val="minor"/>
      </rPr>
      <t>Occasional scoured areas, litter windrolled;</t>
    </r>
  </si>
  <si>
    <r>
      <rPr>
        <b/>
        <sz val="8"/>
        <rFont val="Calibri"/>
        <family val="2"/>
        <scheme val="minor"/>
      </rPr>
      <t xml:space="preserve">Wind: </t>
    </r>
    <r>
      <rPr>
        <sz val="8"/>
        <rFont val="Calibri"/>
        <family val="2"/>
        <scheme val="minor"/>
      </rPr>
      <t>Minimal soil exposed, some detatched vegetation windrolled, minor plant damage;</t>
    </r>
  </si>
  <si>
    <r>
      <rPr>
        <b/>
        <sz val="8"/>
        <rFont val="Calibri"/>
        <family val="2"/>
        <scheme val="minor"/>
      </rPr>
      <t xml:space="preserve">Wind: </t>
    </r>
    <r>
      <rPr>
        <sz val="8"/>
        <rFont val="Calibri"/>
        <family val="2"/>
        <scheme val="minor"/>
      </rPr>
      <t>No exposed soil;</t>
    </r>
  </si>
  <si>
    <r>
      <rPr>
        <b/>
        <sz val="8"/>
        <rFont val="Calibri"/>
        <family val="2"/>
        <scheme val="minor"/>
      </rPr>
      <t xml:space="preserve">Streambank and/or Shoreline: </t>
    </r>
    <r>
      <rPr>
        <sz val="8"/>
        <rFont val="Calibri"/>
        <family val="2"/>
        <scheme val="minor"/>
      </rPr>
      <t>Banks bare, major sloughing, no bank vegetation;</t>
    </r>
  </si>
  <si>
    <r>
      <rPr>
        <b/>
        <sz val="8"/>
        <rFont val="Calibri"/>
        <family val="2"/>
        <scheme val="minor"/>
      </rPr>
      <t xml:space="preserve">Streambank and/or Shoreline: </t>
    </r>
    <r>
      <rPr>
        <sz val="8"/>
        <rFont val="Calibri"/>
        <family val="2"/>
        <scheme val="minor"/>
      </rPr>
      <t>More than half the bank vegetation trampled; sloughing.</t>
    </r>
  </si>
  <si>
    <r>
      <rPr>
        <b/>
        <sz val="8"/>
        <rFont val="Calibri"/>
        <family val="2"/>
        <scheme val="minor"/>
      </rPr>
      <t xml:space="preserve">Streambank and/or Shoreline: </t>
    </r>
    <r>
      <rPr>
        <sz val="8"/>
        <rFont val="Calibri"/>
        <family val="2"/>
        <scheme val="minor"/>
      </rPr>
      <t>Less than half the bank vegetation trampled; eroding at crossing/entrances.</t>
    </r>
  </si>
  <si>
    <r>
      <rPr>
        <b/>
        <sz val="8"/>
        <rFont val="Calibri"/>
        <family val="2"/>
        <scheme val="minor"/>
      </rPr>
      <t xml:space="preserve">Streambank and/or Shoreline: </t>
    </r>
    <r>
      <rPr>
        <sz val="8"/>
        <rFont val="Calibri"/>
        <family val="2"/>
        <scheme val="minor"/>
      </rPr>
      <t>Eroding at crossings, entrances; all the bank vegetation is intact and banks are stable.</t>
    </r>
  </si>
  <si>
    <r>
      <rPr>
        <b/>
        <sz val="8"/>
        <rFont val="Calibri"/>
        <family val="2"/>
        <scheme val="minor"/>
      </rPr>
      <t>Streambank and/or Shoreline: V</t>
    </r>
    <r>
      <rPr>
        <sz val="8"/>
        <rFont val="Calibri"/>
        <family val="2"/>
        <scheme val="minor"/>
      </rPr>
      <t>egetation intact and stable, hardened crossings and alternative water sources used;</t>
    </r>
  </si>
  <si>
    <r>
      <rPr>
        <b/>
        <sz val="8"/>
        <rFont val="Calibri"/>
        <family val="2"/>
        <scheme val="minor"/>
      </rPr>
      <t xml:space="preserve">Gully: </t>
    </r>
    <r>
      <rPr>
        <sz val="8"/>
        <rFont val="Calibri"/>
        <family val="2"/>
        <scheme val="minor"/>
      </rPr>
      <t>Very large mass movement, caving sides.</t>
    </r>
  </si>
  <si>
    <r>
      <rPr>
        <b/>
        <sz val="8"/>
        <rFont val="Calibri"/>
        <family val="2"/>
        <scheme val="minor"/>
      </rPr>
      <t xml:space="preserve">Gully: </t>
    </r>
    <r>
      <rPr>
        <sz val="8"/>
        <rFont val="Calibri"/>
        <family val="2"/>
        <scheme val="minor"/>
      </rPr>
      <t>Advancing upslope, increasing fingering extensions.</t>
    </r>
  </si>
  <si>
    <r>
      <rPr>
        <b/>
        <sz val="8"/>
        <rFont val="Calibri"/>
        <family val="2"/>
        <scheme val="minor"/>
      </rPr>
      <t xml:space="preserve">Gully: </t>
    </r>
    <r>
      <rPr>
        <sz val="8"/>
        <rFont val="Calibri"/>
        <family val="2"/>
        <scheme val="minor"/>
      </rPr>
      <t>Not all active but extensions present.</t>
    </r>
  </si>
  <si>
    <r>
      <rPr>
        <b/>
        <sz val="8"/>
        <rFont val="Calibri"/>
        <family val="2"/>
        <scheme val="minor"/>
      </rPr>
      <t xml:space="preserve">Gully: </t>
    </r>
    <r>
      <rPr>
        <sz val="8"/>
        <rFont val="Calibri"/>
        <family val="2"/>
        <scheme val="minor"/>
      </rPr>
      <t>Stable with vegetative cover.</t>
    </r>
  </si>
  <si>
    <r>
      <rPr>
        <b/>
        <sz val="8"/>
        <rFont val="Calibri"/>
        <family val="2"/>
        <scheme val="minor"/>
      </rPr>
      <t xml:space="preserve">Gully: </t>
    </r>
    <r>
      <rPr>
        <sz val="8"/>
        <rFont val="Calibri"/>
        <family val="2"/>
        <scheme val="minor"/>
      </rPr>
      <t>None, drainage ways vegetative.</t>
    </r>
  </si>
  <si>
    <t>Pasture Condition Scoring</t>
  </si>
  <si>
    <r>
      <rPr>
        <b/>
        <sz val="6.5"/>
        <rFont val="Calibri"/>
        <family val="2"/>
        <scheme val="minor"/>
      </rPr>
      <t xml:space="preserve">             Plant Diversity by Dry Weight
</t>
    </r>
    <r>
      <rPr>
        <sz val="6.5"/>
        <rFont val="Calibri"/>
        <family val="2"/>
        <scheme val="minor"/>
      </rPr>
      <t>(See * footnote at bottom of page)</t>
    </r>
  </si>
  <si>
    <t>Site:</t>
  </si>
  <si>
    <t>Livestock:</t>
  </si>
  <si>
    <t>Acres:</t>
  </si>
  <si>
    <t>Number of Steps:</t>
  </si>
  <si>
    <t>Completed Step Point Method:</t>
  </si>
  <si>
    <t>Percent Desirable Plants:</t>
  </si>
  <si>
    <t>Percent Legume:</t>
  </si>
  <si>
    <t>Live Plant Cover:</t>
  </si>
  <si>
    <t>Plant Diversity:</t>
  </si>
  <si>
    <t>Plant Residue and Litter:</t>
  </si>
  <si>
    <t>PCS Indicator</t>
  </si>
  <si>
    <t>Grazing Utilization:</t>
  </si>
  <si>
    <t>Livestock Concentration Areas:</t>
  </si>
  <si>
    <t>Soil Compaction:</t>
  </si>
  <si>
    <t>Plant Vigor:</t>
  </si>
  <si>
    <t>Erosion:</t>
  </si>
  <si>
    <t>Resource Concerns</t>
  </si>
  <si>
    <t>RC Category</t>
  </si>
  <si>
    <t>Degraded plant condition</t>
  </si>
  <si>
    <t>Resource Concern</t>
  </si>
  <si>
    <t>RC Condition</t>
  </si>
  <si>
    <t>Plant productivity and health</t>
  </si>
  <si>
    <t>Plant structure and composition</t>
  </si>
  <si>
    <t>Wind and Water Erosion</t>
  </si>
  <si>
    <t>Concentrated erosion</t>
  </si>
  <si>
    <t>Sheet and Rill Erosion</t>
  </si>
  <si>
    <t>Classic gully erosion</t>
  </si>
  <si>
    <t>Bank erosion from streams, shorelines or water conveyance channels</t>
  </si>
  <si>
    <t>Livestock Production Limitation</t>
  </si>
  <si>
    <t>Feed and Forage Balance</t>
  </si>
  <si>
    <t>Pest Pressure</t>
  </si>
  <si>
    <t>Plant Pest Pressure</t>
  </si>
  <si>
    <t>Field sediment, nutrient and pathogen loss</t>
  </si>
  <si>
    <t>Nutrients transported to surface water</t>
  </si>
  <si>
    <t>Sediment tansported to surface water</t>
  </si>
  <si>
    <t>Soil quality limitations</t>
  </si>
  <si>
    <t>Compaction</t>
  </si>
  <si>
    <t>Organic matter depletion</t>
  </si>
  <si>
    <t>Soil organism habitat loss or degradation</t>
  </si>
  <si>
    <t>Aggregate instability</t>
  </si>
  <si>
    <t>Weather Resilience</t>
  </si>
  <si>
    <t>Naturally available moisture use</t>
  </si>
  <si>
    <t>Cattle</t>
  </si>
  <si>
    <t>Horse</t>
  </si>
  <si>
    <t>Goat</t>
  </si>
  <si>
    <t>Livestock</t>
  </si>
  <si>
    <t>Precipitation:</t>
  </si>
  <si>
    <t>Temperature:</t>
  </si>
  <si>
    <t>Native Species:</t>
  </si>
  <si>
    <t>Introduced Species:</t>
  </si>
  <si>
    <t>Bare Ground</t>
  </si>
  <si>
    <t>Residue</t>
  </si>
  <si>
    <t>Stone</t>
  </si>
  <si>
    <t>Native/Introduced Species</t>
  </si>
  <si>
    <t>County</t>
  </si>
  <si>
    <t>Field No:</t>
  </si>
  <si>
    <t>PCS</t>
  </si>
  <si>
    <t>Operator/Site :</t>
  </si>
  <si>
    <t>Evaluator :</t>
  </si>
  <si>
    <t>County :</t>
  </si>
  <si>
    <t>Landuse :</t>
  </si>
  <si>
    <t>Field Number(s) :</t>
  </si>
  <si>
    <t>Field Name(s) :</t>
  </si>
  <si>
    <t>Evaluator</t>
  </si>
  <si>
    <t>STEP Score</t>
  </si>
  <si>
    <t>Count</t>
  </si>
  <si>
    <t>% Total</t>
  </si>
  <si>
    <t>Common Name</t>
  </si>
  <si>
    <t>Functional Groups</t>
  </si>
  <si>
    <t>Presence</t>
  </si>
  <si>
    <t>Recorded Species</t>
  </si>
  <si>
    <t>Recorded Species Information</t>
  </si>
  <si>
    <t>Top</t>
  </si>
  <si>
    <t>Distinct Species</t>
  </si>
  <si>
    <t>Dominant Desired Species</t>
  </si>
  <si>
    <t>Total</t>
  </si>
  <si>
    <t>Dom. Des. Functional Groups</t>
  </si>
  <si>
    <t>Minor Desired Species</t>
  </si>
  <si>
    <t>Minor Des. Functional Groups</t>
  </si>
  <si>
    <t>Dom&amp;Des</t>
  </si>
  <si>
    <t>Minor&amp;Des</t>
  </si>
  <si>
    <t>Comments/ Notes:</t>
  </si>
  <si>
    <t>3 functional groups each represented by minor species totaling
≥15%</t>
  </si>
  <si>
    <t>2 functional groups each represented by minor species totaling
≥15%</t>
  </si>
  <si>
    <r>
      <t xml:space="preserve">*Use NRCS plant list for livestock species.  Functional groups are as appropriate for your state (cool-season grasses, legumes, warm-season grasses, non-leguminous forbs).       </t>
    </r>
    <r>
      <rPr>
        <sz val="8"/>
        <color rgb="FFFF0000"/>
        <rFont val="Calibri"/>
        <family val="2"/>
        <scheme val="minor"/>
      </rPr>
      <t>Any time there are more undesirables than desirables, it will be 1 point.  Desirable species must total more than 50% of the total biomass. Dominant species are ≥15%.  Functional groups must be ≥15% of stand to be counted.</t>
    </r>
  </si>
  <si>
    <r>
      <rPr>
        <b/>
        <sz val="7"/>
        <rFont val="Calibri"/>
        <family val="2"/>
        <scheme val="minor"/>
      </rPr>
      <t xml:space="preserve">    Soil Compaction and Soil Regenerative Features                                                                                     </t>
    </r>
    <r>
      <rPr>
        <sz val="7"/>
        <rFont val="Calibri"/>
        <family val="2"/>
        <scheme val="minor"/>
      </rPr>
      <t>(See *** footnote at bottom of page)</t>
    </r>
  </si>
  <si>
    <t>Goats,Horses</t>
  </si>
  <si>
    <t>TIM</t>
  </si>
  <si>
    <t>tim/Tucson</t>
  </si>
  <si>
    <t>siteA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</si>
</sst>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mmmm\ d\,\ yyyy;@"/>
  </numFmts>
  <fonts count="75">
    <font>
      <sz val="10"/>
      <color rgb="FF000000"/>
      <name val="Times New Roman"/>
      <charset val="204"/>
    </font>
    <font>
      <sz val="11"/>
      <color theme="1"/>
      <name val="Calibri"/>
      <family val="2"/>
      <scheme val="minor"/>
    </font>
    <font>
      <sz val="10"/>
      <color rgb="FF000000"/>
      <name val="Times New Roman"/>
      <family val="1"/>
    </font>
    <font>
      <b/>
      <sz val="16"/>
      <name val="Arial"/>
      <family val="2"/>
    </font>
    <font>
      <sz val="10"/>
      <color theme="0" tint="-4.9989318521683403E-2"/>
      <name val="Times New Roman"/>
      <family val="1"/>
    </font>
    <font>
      <sz val="9"/>
      <color indexed="81"/>
      <name val="Tahoma"/>
      <family val="2"/>
    </font>
    <font>
      <sz val="14"/>
      <color rgb="FF000000"/>
      <name val="Calibri"/>
      <family val="2"/>
      <scheme val="minor"/>
    </font>
    <font>
      <sz val="11"/>
      <color rgb="FF000000"/>
      <name val="Calibri"/>
      <family val="2"/>
      <charset val="1"/>
    </font>
    <font>
      <b/>
      <sz val="11"/>
      <color rgb="FF000000"/>
      <name val="Calibri"/>
      <family val="2"/>
    </font>
    <font>
      <sz val="11"/>
      <color rgb="FF000000"/>
      <name val="Calibri"/>
      <family val="2"/>
    </font>
    <font>
      <sz val="11"/>
      <name val="Calibri"/>
      <family val="2"/>
      <scheme val="minor"/>
    </font>
    <font>
      <i/>
      <sz val="11"/>
      <name val="Calibri"/>
      <family val="2"/>
      <scheme val="minor"/>
    </font>
    <font>
      <sz val="11"/>
      <color rgb="FF000000"/>
      <name val="Calibri"/>
      <family val="2"/>
      <scheme val="minor"/>
    </font>
    <font>
      <i/>
      <sz val="11"/>
      <color rgb="FF000000"/>
      <name val="Calibri"/>
      <family val="2"/>
      <scheme val="minor"/>
    </font>
    <font>
      <i/>
      <sz val="11"/>
      <color theme="1"/>
      <name val="Calibri"/>
      <family val="2"/>
      <scheme val="minor"/>
    </font>
    <font>
      <sz val="10"/>
      <color rgb="FF0C0D0E"/>
      <name val="Var(--ff-mono)"/>
    </font>
    <font>
      <sz val="20"/>
      <color rgb="FF000000"/>
      <name val="Times New Roman"/>
      <family val="1"/>
    </font>
    <font>
      <sz val="10"/>
      <color rgb="FF000000"/>
      <name val="Calibri"/>
      <family val="2"/>
      <scheme val="minor"/>
    </font>
    <font>
      <sz val="6"/>
      <color rgb="FF000000"/>
      <name val="Calibri"/>
      <family val="2"/>
      <scheme val="minor"/>
    </font>
    <font>
      <sz val="6"/>
      <color rgb="FFFF0000"/>
      <name val="Calibri"/>
      <family val="2"/>
      <scheme val="minor"/>
    </font>
    <font>
      <sz val="11"/>
      <color theme="2"/>
      <name val="Calibri"/>
      <family val="2"/>
      <charset val="1"/>
    </font>
    <font>
      <sz val="10"/>
      <color theme="0"/>
      <name val="Times New Roman"/>
      <family val="1"/>
    </font>
    <font>
      <b/>
      <sz val="11"/>
      <color theme="0"/>
      <name val="Calibri"/>
      <family val="2"/>
      <scheme val="minor"/>
    </font>
    <font>
      <sz val="10"/>
      <color theme="2"/>
      <name val="Times New Roman"/>
      <family val="1"/>
    </font>
    <font>
      <b/>
      <sz val="11"/>
      <color rgb="FFFF0000"/>
      <name val="Calibri"/>
      <family val="2"/>
      <scheme val="minor"/>
    </font>
    <font>
      <sz val="9"/>
      <color rgb="FF000000"/>
      <name val="Calibri"/>
      <family val="2"/>
      <scheme val="minor"/>
    </font>
    <font>
      <sz val="10"/>
      <color rgb="FF000000"/>
      <name val="Times New Roman"/>
      <family val="1"/>
    </font>
    <font>
      <sz val="10"/>
      <name val="Arial"/>
      <family val="2"/>
    </font>
    <font>
      <b/>
      <sz val="36"/>
      <name val="Arial"/>
      <family val="2"/>
    </font>
    <font>
      <b/>
      <sz val="18"/>
      <name val="Arial"/>
      <family val="2"/>
    </font>
    <font>
      <sz val="18"/>
      <name val="Arial"/>
      <family val="2"/>
    </font>
    <font>
      <sz val="18"/>
      <name val="Comic Sans MS"/>
      <family val="4"/>
    </font>
    <font>
      <b/>
      <sz val="20"/>
      <name val="Arial"/>
      <family val="2"/>
    </font>
    <font>
      <sz val="14"/>
      <name val="Arial"/>
      <family val="2"/>
    </font>
    <font>
      <b/>
      <sz val="14"/>
      <name val="Arial"/>
      <family val="2"/>
    </font>
    <font>
      <sz val="20"/>
      <name val="Arial"/>
      <family val="2"/>
    </font>
    <font>
      <sz val="10"/>
      <name val="Arial"/>
      <family val="2"/>
    </font>
    <font>
      <b/>
      <sz val="12"/>
      <name val="Arial"/>
      <family val="2"/>
    </font>
    <font>
      <sz val="23"/>
      <name val="Arial"/>
      <family val="2"/>
    </font>
    <font>
      <b/>
      <sz val="24"/>
      <name val="Arial"/>
      <family val="2"/>
    </font>
    <font>
      <b/>
      <sz val="23"/>
      <color indexed="10"/>
      <name val="Arial"/>
      <family val="2"/>
    </font>
    <font>
      <b/>
      <sz val="23"/>
      <name val="Arial"/>
      <family val="2"/>
    </font>
    <font>
      <sz val="24"/>
      <name val="Arial"/>
      <family val="2"/>
    </font>
    <font>
      <b/>
      <sz val="23"/>
      <color rgb="FFFF0000"/>
      <name val="Arial"/>
      <family val="2"/>
    </font>
    <font>
      <i/>
      <sz val="18"/>
      <name val="Arial"/>
      <family val="2"/>
    </font>
    <font>
      <sz val="22"/>
      <name val="Arial"/>
      <family val="2"/>
    </font>
    <font>
      <sz val="22"/>
      <color indexed="10"/>
      <name val="Arial"/>
      <family val="2"/>
    </font>
    <font>
      <b/>
      <sz val="22"/>
      <name val="Arial"/>
      <family val="2"/>
    </font>
    <font>
      <b/>
      <sz val="13"/>
      <name val="Arial"/>
      <family val="2"/>
    </font>
    <font>
      <b/>
      <sz val="8"/>
      <name val="Calibri"/>
      <family val="2"/>
      <scheme val="minor"/>
    </font>
    <font>
      <sz val="8"/>
      <color rgb="FF000000"/>
      <name val="Calibri"/>
      <family val="2"/>
      <scheme val="minor"/>
    </font>
    <font>
      <sz val="8"/>
      <name val="Calibri"/>
      <family val="2"/>
      <scheme val="minor"/>
    </font>
    <font>
      <b/>
      <sz val="11"/>
      <name val="Calibri"/>
      <family val="2"/>
      <scheme val="minor"/>
    </font>
    <font>
      <b/>
      <sz val="6.5"/>
      <name val="Calibri"/>
      <family val="2"/>
      <scheme val="minor"/>
    </font>
    <font>
      <sz val="6.5"/>
      <name val="Calibri"/>
      <family val="2"/>
      <scheme val="minor"/>
    </font>
    <font>
      <b/>
      <sz val="8"/>
      <color rgb="FFFF0000"/>
      <name val="Calibri"/>
      <family val="2"/>
      <scheme val="minor"/>
    </font>
    <font>
      <i/>
      <sz val="6.5"/>
      <name val="Calibri"/>
      <family val="2"/>
      <scheme val="minor"/>
    </font>
    <font>
      <sz val="8"/>
      <color rgb="FFFF0000"/>
      <name val="Calibri"/>
      <family val="2"/>
      <scheme val="minor"/>
    </font>
    <font>
      <sz val="7"/>
      <name val="Calibri"/>
      <family val="2"/>
      <scheme val="minor"/>
    </font>
    <font>
      <b/>
      <sz val="7"/>
      <name val="Calibri"/>
      <family val="2"/>
      <scheme val="minor"/>
    </font>
    <font>
      <sz val="20"/>
      <color rgb="FF000000"/>
      <name val="Calibri"/>
      <family val="2"/>
      <scheme val="minor"/>
    </font>
    <font>
      <sz val="11"/>
      <color rgb="FF000000"/>
      <name val="Times New Roman"/>
      <family val="1"/>
    </font>
    <font>
      <b/>
      <sz val="11"/>
      <color rgb="FF000000"/>
      <name val="Calibri"/>
      <family val="2"/>
      <scheme val="minor"/>
    </font>
    <font>
      <sz val="10"/>
      <name val="Calibri"/>
      <family val="2"/>
      <scheme val="minor"/>
    </font>
    <font>
      <sz val="12"/>
      <color rgb="FF000000"/>
      <name val="Calibri"/>
      <family val="2"/>
      <scheme val="minor"/>
    </font>
    <font>
      <b/>
      <sz val="12"/>
      <color rgb="FF000000"/>
      <name val="Calibri"/>
      <family val="2"/>
      <scheme val="minor"/>
    </font>
    <font>
      <b/>
      <sz val="10"/>
      <color rgb="FF000000"/>
      <name val="Calibri"/>
      <family val="2"/>
      <scheme val="minor"/>
    </font>
    <font>
      <sz val="8"/>
      <name val="Times New Roman"/>
      <family val="1"/>
    </font>
    <font>
      <sz val="11"/>
      <color rgb="FF001D35"/>
      <name val="Courier New"/>
      <family val="3"/>
    </font>
    <font>
      <sz val="11"/>
      <color rgb="FFFF0000"/>
      <name val="Calibri"/>
      <family val="2"/>
      <scheme val="minor"/>
    </font>
    <font>
      <sz val="10"/>
      <color rgb="FFFF0000"/>
      <name val="Times New Roman"/>
      <family val="1"/>
    </font>
    <font>
      <b/>
      <sz val="12"/>
      <color rgb="FFFF0000"/>
      <name val="Calibri"/>
      <family val="2"/>
      <scheme val="minor"/>
    </font>
    <font>
      <b/>
      <sz val="9"/>
      <color rgb="FF000000"/>
      <name val="Calibri"/>
      <family val="2"/>
      <scheme val="minor"/>
    </font>
    <font>
      <sz val="10"/>
      <color rgb="FFFF0000"/>
      <name val="Calibri"/>
      <family val="2"/>
      <scheme val="minor"/>
    </font>
    <font>
      <b/>
      <sz val="10"/>
      <color rgb="FF000000"/>
      <name val="Times New Roman"/>
      <family val="1"/>
    </font>
  </fonts>
  <fills count="33">
    <fill>
      <patternFill patternType="none"/>
    </fill>
    <fill>
      <patternFill patternType="gray125"/>
    </fill>
    <fill>
      <patternFill patternType="solid">
        <fgColor theme="9"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0"/>
        <bgColor indexed="64"/>
      </patternFill>
    </fill>
    <fill>
      <patternFill patternType="solid">
        <fgColor rgb="FFD8E4BC"/>
        <bgColor indexed="64"/>
      </patternFill>
    </fill>
    <fill>
      <patternFill patternType="solid">
        <fgColor theme="0" tint="-0.14999847407452621"/>
        <bgColor indexed="64"/>
      </patternFill>
    </fill>
    <fill>
      <patternFill patternType="solid">
        <fgColor rgb="FFFFFFCC"/>
      </patternFill>
    </fill>
    <fill>
      <patternFill patternType="solid">
        <fgColor theme="6" tint="0.39994506668294322"/>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6" tint="0.59996337778862885"/>
        <bgColor indexed="64"/>
      </patternFill>
    </fill>
    <fill>
      <patternFill patternType="solid">
        <fgColor rgb="FF92D050"/>
        <bgColor indexed="64"/>
      </patternFill>
    </fill>
    <fill>
      <patternFill patternType="solid">
        <fgColor rgb="FF7EEB9E"/>
        <bgColor indexed="64"/>
      </patternFill>
    </fill>
    <fill>
      <patternFill patternType="solid">
        <fgColor theme="6" tint="0.39997558519241921"/>
        <bgColor indexed="64"/>
      </patternFill>
    </fill>
    <fill>
      <patternFill patternType="solid">
        <fgColor rgb="FFFFFF99"/>
        <bgColor indexed="64"/>
      </patternFill>
    </fill>
    <fill>
      <patternFill patternType="solid">
        <fgColor indexed="9"/>
        <bgColor indexed="64"/>
      </patternFill>
    </fill>
    <fill>
      <patternFill patternType="solid">
        <fgColor rgb="FFD7E3BB"/>
      </patternFill>
    </fill>
    <fill>
      <patternFill patternType="solid">
        <fgColor rgb="FFC5D9F0"/>
      </patternFill>
    </fill>
    <fill>
      <patternFill patternType="solid">
        <fgColor rgb="FFC4D69B"/>
      </patternFill>
    </fill>
    <fill>
      <patternFill patternType="solid">
        <fgColor rgb="FF92D050"/>
      </patternFill>
    </fill>
    <fill>
      <patternFill patternType="solid">
        <fgColor rgb="FF7DEB9E"/>
      </patternFill>
    </fill>
    <fill>
      <patternFill patternType="solid">
        <fgColor rgb="FFFFFF99"/>
      </patternFill>
    </fill>
    <fill>
      <patternFill patternType="solid">
        <fgColor rgb="FFD7E3BB"/>
        <bgColor indexed="64"/>
      </patternFill>
    </fill>
    <fill>
      <patternFill patternType="solid">
        <fgColor theme="6" tint="-0.249977111117893"/>
        <bgColor indexed="64"/>
      </patternFill>
    </fill>
    <fill>
      <patternFill patternType="solid">
        <fgColor theme="9"/>
        <bgColor indexed="64"/>
      </patternFill>
    </fill>
    <fill>
      <patternFill patternType="solid">
        <fgColor rgb="FFF79646"/>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style="medium">
        <color theme="6"/>
      </left>
      <right/>
      <top style="medium">
        <color theme="6"/>
      </top>
      <bottom/>
      <diagonal/>
    </border>
    <border>
      <left/>
      <right/>
      <top style="medium">
        <color theme="6"/>
      </top>
      <bottom style="thin">
        <color indexed="64"/>
      </bottom>
      <diagonal/>
    </border>
    <border>
      <left/>
      <right/>
      <top style="medium">
        <color theme="6"/>
      </top>
      <bottom/>
      <diagonal/>
    </border>
    <border>
      <left/>
      <right style="medium">
        <color theme="6"/>
      </right>
      <top style="medium">
        <color theme="6"/>
      </top>
      <bottom style="thin">
        <color indexed="64"/>
      </bottom>
      <diagonal/>
    </border>
    <border>
      <left style="medium">
        <color theme="6"/>
      </left>
      <right/>
      <top/>
      <bottom/>
      <diagonal/>
    </border>
    <border>
      <left/>
      <right style="medium">
        <color theme="6"/>
      </right>
      <top style="thin">
        <color indexed="64"/>
      </top>
      <bottom style="thin">
        <color indexed="64"/>
      </bottom>
      <diagonal/>
    </border>
    <border>
      <left/>
      <right style="medium">
        <color theme="6"/>
      </right>
      <top/>
      <bottom style="thin">
        <color indexed="64"/>
      </bottom>
      <diagonal/>
    </border>
    <border>
      <left/>
      <right style="medium">
        <color theme="6"/>
      </right>
      <top/>
      <bottom/>
      <diagonal/>
    </border>
    <border>
      <left style="medium">
        <color theme="6"/>
      </left>
      <right/>
      <top/>
      <bottom style="medium">
        <color theme="6"/>
      </bottom>
      <diagonal/>
    </border>
    <border>
      <left/>
      <right/>
      <top/>
      <bottom style="medium">
        <color theme="6"/>
      </bottom>
      <diagonal/>
    </border>
    <border>
      <left/>
      <right style="medium">
        <color theme="6"/>
      </right>
      <top/>
      <bottom style="medium">
        <color theme="6"/>
      </bottom>
      <diagonal/>
    </border>
    <border>
      <left/>
      <right style="medium">
        <color theme="6"/>
      </right>
      <top style="medium">
        <color theme="6"/>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DashDotDot">
        <color indexed="64"/>
      </right>
      <top style="medium">
        <color indexed="64"/>
      </top>
      <bottom style="mediumDashDotDot">
        <color indexed="64"/>
      </bottom>
      <diagonal/>
    </border>
    <border>
      <left style="mediumDashDotDot">
        <color indexed="64"/>
      </left>
      <right style="mediumDashDotDot">
        <color indexed="64"/>
      </right>
      <top style="medium">
        <color indexed="64"/>
      </top>
      <bottom style="mediumDashDotDot">
        <color indexed="64"/>
      </bottom>
      <diagonal/>
    </border>
    <border>
      <left style="mediumDashDotDot">
        <color indexed="64"/>
      </left>
      <right style="medium">
        <color indexed="64"/>
      </right>
      <top style="medium">
        <color indexed="64"/>
      </top>
      <bottom style="mediumDashDotDot">
        <color indexed="64"/>
      </bottom>
      <diagonal/>
    </border>
    <border>
      <left style="medium">
        <color indexed="64"/>
      </left>
      <right style="medium">
        <color indexed="64"/>
      </right>
      <top/>
      <bottom/>
      <diagonal/>
    </border>
    <border>
      <left style="medium">
        <color indexed="64"/>
      </left>
      <right style="mediumDashDotDot">
        <color indexed="64"/>
      </right>
      <top style="mediumDashDotDot">
        <color indexed="64"/>
      </top>
      <bottom/>
      <diagonal/>
    </border>
    <border>
      <left style="mediumDashDotDot">
        <color indexed="64"/>
      </left>
      <right style="mediumDashDotDot">
        <color indexed="64"/>
      </right>
      <top style="mediumDashDotDot">
        <color indexed="64"/>
      </top>
      <bottom/>
      <diagonal/>
    </border>
    <border>
      <left style="mediumDashDotDot">
        <color indexed="64"/>
      </left>
      <right style="medium">
        <color indexed="64"/>
      </right>
      <top style="mediumDashDotDot">
        <color indexed="64"/>
      </top>
      <bottom/>
      <diagonal/>
    </border>
    <border>
      <left style="medium">
        <color indexed="64"/>
      </left>
      <right style="mediumDashDotDot">
        <color indexed="64"/>
      </right>
      <top/>
      <bottom/>
      <diagonal/>
    </border>
    <border>
      <left style="mediumDashDotDot">
        <color indexed="64"/>
      </left>
      <right/>
      <top/>
      <bottom/>
      <diagonal/>
    </border>
    <border>
      <left style="mediumDashDotDot">
        <color indexed="64"/>
      </left>
      <right style="mediumDashDotDot">
        <color indexed="64"/>
      </right>
      <top/>
      <bottom/>
      <diagonal/>
    </border>
    <border>
      <left style="mediumDashDotDot">
        <color indexed="64"/>
      </left>
      <right style="medium">
        <color indexed="64"/>
      </right>
      <top/>
      <bottom/>
      <diagonal/>
    </border>
    <border>
      <left style="medium">
        <color indexed="64"/>
      </left>
      <right style="mediumDashDotDot">
        <color indexed="64"/>
      </right>
      <top/>
      <bottom style="medium">
        <color indexed="64"/>
      </bottom>
      <diagonal/>
    </border>
    <border>
      <left style="mediumDashDotDot">
        <color indexed="64"/>
      </left>
      <right style="mediumDashDotDot">
        <color indexed="64"/>
      </right>
      <top/>
      <bottom style="medium">
        <color indexed="64"/>
      </bottom>
      <diagonal/>
    </border>
    <border>
      <left style="mediumDashDotDot">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DashDotDot">
        <color indexed="64"/>
      </right>
      <top style="mediumDashDotDot">
        <color indexed="64"/>
      </top>
      <bottom style="mediumDashDotDot">
        <color indexed="64"/>
      </bottom>
      <diagonal/>
    </border>
    <border>
      <left style="mediumDashDotDot">
        <color indexed="64"/>
      </left>
      <right style="mediumDashDotDot">
        <color indexed="64"/>
      </right>
      <top style="mediumDashDotDot">
        <color indexed="64"/>
      </top>
      <bottom style="mediumDashDotDot">
        <color indexed="64"/>
      </bottom>
      <diagonal/>
    </border>
    <border>
      <left style="mediumDashDotDot">
        <color indexed="64"/>
      </left>
      <right style="medium">
        <color indexed="64"/>
      </right>
      <top style="mediumDashDotDot">
        <color indexed="64"/>
      </top>
      <bottom style="mediumDashDotDot">
        <color indexed="64"/>
      </bottom>
      <diagonal/>
    </border>
    <border>
      <left style="medium">
        <color indexed="64"/>
      </left>
      <right style="mediumDashDotDot">
        <color indexed="64"/>
      </right>
      <top style="mediumDashDotDot">
        <color indexed="64"/>
      </top>
      <bottom style="medium">
        <color indexed="64"/>
      </bottom>
      <diagonal/>
    </border>
    <border>
      <left style="mediumDashDotDot">
        <color indexed="64"/>
      </left>
      <right style="mediumDashDotDot">
        <color indexed="64"/>
      </right>
      <top style="mediumDashDotDot">
        <color indexed="64"/>
      </top>
      <bottom style="medium">
        <color indexed="64"/>
      </bottom>
      <diagonal/>
    </border>
    <border>
      <left style="mediumDashDotDot">
        <color indexed="64"/>
      </left>
      <right style="medium">
        <color indexed="64"/>
      </right>
      <top style="mediumDashDotDot">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style="medium">
        <color indexed="64"/>
      </top>
      <bottom style="medium">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style="thin">
        <color theme="0" tint="-0.34998626667073579"/>
      </top>
      <bottom style="thin">
        <color theme="0" tint="-0.34998626667073579"/>
      </bottom>
      <diagonal/>
    </border>
    <border>
      <left/>
      <right style="thin">
        <color indexed="64"/>
      </right>
      <top/>
      <bottom/>
      <diagonal/>
    </border>
    <border>
      <left/>
      <right/>
      <top style="thin">
        <color indexed="64"/>
      </top>
      <bottom/>
      <diagonal/>
    </border>
    <border>
      <left style="thin">
        <color indexed="64"/>
      </left>
      <right style="thin">
        <color indexed="64"/>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34998626667073579"/>
      </left>
      <right/>
      <top style="thin">
        <color theme="0" tint="-0.34998626667073579"/>
      </top>
      <bottom/>
      <diagonal/>
    </border>
    <border>
      <left style="thin">
        <color theme="0" tint="-0.249977111117893"/>
      </left>
      <right style="thin">
        <color theme="0" tint="-0.34998626667073579"/>
      </right>
      <top style="thin">
        <color theme="0" tint="-0.249977111117893"/>
      </top>
      <bottom style="thin">
        <color theme="0" tint="-0.249977111117893"/>
      </bottom>
      <diagonal/>
    </border>
    <border>
      <left style="thin">
        <color theme="0" tint="-0.34998626667073579"/>
      </left>
      <right style="thin">
        <color theme="0" tint="-0.34998626667073579"/>
      </right>
      <top style="thin">
        <color theme="0" tint="-0.249977111117893"/>
      </top>
      <bottom style="thin">
        <color theme="0" tint="-0.249977111117893"/>
      </bottom>
      <diagonal/>
    </border>
    <border>
      <left style="thin">
        <color theme="0" tint="-0.34998626667073579"/>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s>
  <cellStyleXfs count="6">
    <xf numFmtId="0" fontId="0" fillId="0" borderId="0"/>
    <xf numFmtId="0" fontId="7" fillId="0" borderId="0"/>
    <xf numFmtId="0" fontId="1" fillId="0" borderId="0"/>
    <xf numFmtId="9" fontId="26" fillId="0" borderId="0" applyFont="0" applyFill="0" applyBorder="0" applyAlignment="0" applyProtection="0"/>
    <xf numFmtId="0" fontId="27" fillId="0" borderId="0"/>
    <xf numFmtId="9" fontId="27" fillId="0" borderId="0" applyFont="0" applyFill="0" applyBorder="0" applyAlignment="0" applyProtection="0"/>
  </cellStyleXfs>
  <cellXfs count="560">
    <xf numFmtId="0" fontId="0" fillId="0" borderId="0" xfId="0" applyAlignment="1">
      <alignment horizontal="left" vertical="top"/>
    </xf>
    <xf numFmtId="0" fontId="8" fillId="0" borderId="1" xfId="1" applyFont="1" applyBorder="1" applyAlignment="1">
      <alignment horizontal="center" wrapText="1"/>
    </xf>
    <xf numFmtId="0" fontId="8" fillId="0" borderId="11" xfId="1" applyFont="1" applyBorder="1" applyAlignment="1">
      <alignment horizontal="center" wrapText="1"/>
    </xf>
    <xf numFmtId="0" fontId="8" fillId="2" borderId="1" xfId="1" applyFont="1" applyFill="1" applyBorder="1" applyAlignment="1">
      <alignment horizontal="center" wrapText="1"/>
    </xf>
    <xf numFmtId="0" fontId="8" fillId="3" borderId="1" xfId="1" applyFont="1" applyFill="1" applyBorder="1" applyAlignment="1">
      <alignment horizontal="center" wrapText="1"/>
    </xf>
    <xf numFmtId="0" fontId="8" fillId="4" borderId="1" xfId="1" applyFont="1" applyFill="1" applyBorder="1" applyAlignment="1">
      <alignment horizontal="center" wrapText="1"/>
    </xf>
    <xf numFmtId="0" fontId="8" fillId="5" borderId="1" xfId="1" applyFont="1" applyFill="1" applyBorder="1" applyAlignment="1">
      <alignment horizontal="center" wrapText="1"/>
    </xf>
    <xf numFmtId="0" fontId="8" fillId="0" borderId="8" xfId="1" applyFont="1" applyBorder="1" applyAlignment="1">
      <alignment horizontal="center" wrapText="1"/>
    </xf>
    <xf numFmtId="0" fontId="7" fillId="0" borderId="1" xfId="1" applyBorder="1"/>
    <xf numFmtId="0" fontId="10" fillId="0" borderId="7" xfId="1" applyFont="1" applyBorder="1" applyAlignment="1">
      <alignment horizontal="left"/>
    </xf>
    <xf numFmtId="0" fontId="11" fillId="0" borderId="1" xfId="1" applyFont="1" applyBorder="1" applyAlignment="1">
      <alignment horizontal="left"/>
    </xf>
    <xf numFmtId="0" fontId="10" fillId="0" borderId="1" xfId="1" applyFont="1" applyBorder="1" applyAlignment="1">
      <alignment horizontal="left" wrapText="1"/>
    </xf>
    <xf numFmtId="0" fontId="10" fillId="0" borderId="1" xfId="1" applyFont="1" applyBorder="1"/>
    <xf numFmtId="0" fontId="12" fillId="2" borderId="1" xfId="1" applyFont="1" applyFill="1" applyBorder="1"/>
    <xf numFmtId="0" fontId="12" fillId="3" borderId="1" xfId="1" applyFont="1" applyFill="1" applyBorder="1"/>
    <xf numFmtId="0" fontId="12" fillId="4" borderId="1" xfId="1" applyFont="1" applyFill="1" applyBorder="1"/>
    <xf numFmtId="0" fontId="10" fillId="5" borderId="1" xfId="1" applyFont="1" applyFill="1" applyBorder="1"/>
    <xf numFmtId="0" fontId="7" fillId="0" borderId="1" xfId="1" applyBorder="1" applyAlignment="1">
      <alignment wrapText="1"/>
    </xf>
    <xf numFmtId="0" fontId="7" fillId="0" borderId="0" xfId="1"/>
    <xf numFmtId="0" fontId="10" fillId="0" borderId="12" xfId="1" applyFont="1" applyBorder="1" applyAlignment="1">
      <alignment horizontal="left"/>
    </xf>
    <xf numFmtId="0" fontId="11" fillId="0" borderId="1" xfId="1" applyFont="1" applyBorder="1" applyAlignment="1">
      <alignment horizontal="left" wrapText="1"/>
    </xf>
    <xf numFmtId="0" fontId="12" fillId="2" borderId="1" xfId="1" applyFont="1" applyFill="1" applyBorder="1" applyAlignment="1">
      <alignment wrapText="1"/>
    </xf>
    <xf numFmtId="0" fontId="12" fillId="5" borderId="1" xfId="1" applyFont="1" applyFill="1" applyBorder="1"/>
    <xf numFmtId="0" fontId="12" fillId="0" borderId="12" xfId="1" applyFont="1" applyBorder="1" applyAlignment="1">
      <alignment horizontal="left"/>
    </xf>
    <xf numFmtId="0" fontId="12" fillId="0" borderId="1" xfId="1" applyFont="1" applyBorder="1" applyAlignment="1">
      <alignment horizontal="left" wrapText="1"/>
    </xf>
    <xf numFmtId="0" fontId="12" fillId="0" borderId="1" xfId="1" applyFont="1" applyBorder="1"/>
    <xf numFmtId="0" fontId="13" fillId="0" borderId="1" xfId="1" applyFont="1" applyBorder="1" applyAlignment="1">
      <alignment horizontal="left"/>
    </xf>
    <xf numFmtId="0" fontId="14" fillId="0" borderId="1" xfId="1" applyFont="1" applyBorder="1" applyAlignment="1">
      <alignment horizontal="left" vertical="center" wrapText="1"/>
    </xf>
    <xf numFmtId="0" fontId="1" fillId="0" borderId="1" xfId="1" applyFont="1" applyBorder="1" applyAlignment="1">
      <alignment horizontal="left" vertical="center" wrapText="1"/>
    </xf>
    <xf numFmtId="0" fontId="10" fillId="3" borderId="1" xfId="1" applyFont="1" applyFill="1" applyBorder="1"/>
    <xf numFmtId="0" fontId="10" fillId="4" borderId="1" xfId="1" applyFont="1" applyFill="1" applyBorder="1"/>
    <xf numFmtId="0" fontId="13" fillId="0" borderId="1" xfId="1" applyFont="1" applyBorder="1" applyAlignment="1">
      <alignment horizontal="left" wrapText="1"/>
    </xf>
    <xf numFmtId="0" fontId="14" fillId="0" borderId="1" xfId="1" applyFont="1" applyBorder="1" applyAlignment="1">
      <alignment horizontal="left" wrapText="1"/>
    </xf>
    <xf numFmtId="0" fontId="1" fillId="0" borderId="1" xfId="1" applyFont="1" applyBorder="1" applyAlignment="1">
      <alignment horizontal="left" wrapText="1"/>
    </xf>
    <xf numFmtId="0" fontId="10" fillId="2" borderId="1" xfId="1" applyFont="1" applyFill="1" applyBorder="1"/>
    <xf numFmtId="0" fontId="7" fillId="0" borderId="0" xfId="1" applyAlignment="1">
      <alignment horizontal="left"/>
    </xf>
    <xf numFmtId="0" fontId="7" fillId="0" borderId="1" xfId="1" applyBorder="1" applyAlignment="1">
      <alignment horizontal="left" wrapText="1"/>
    </xf>
    <xf numFmtId="0" fontId="7" fillId="0" borderId="0" xfId="1" applyAlignment="1">
      <alignment horizontal="left" wrapText="1"/>
    </xf>
    <xf numFmtId="0" fontId="7" fillId="0" borderId="0" xfId="1" applyAlignment="1">
      <alignment wrapText="1"/>
    </xf>
    <xf numFmtId="0" fontId="9" fillId="0" borderId="0" xfId="1" applyFont="1" applyAlignment="1">
      <alignment vertical="top"/>
    </xf>
    <xf numFmtId="0" fontId="15" fillId="0" borderId="0" xfId="0" applyFont="1" applyAlignment="1">
      <alignment horizontal="left" vertical="center"/>
    </xf>
    <xf numFmtId="0" fontId="12" fillId="0" borderId="0" xfId="0" applyFont="1" applyAlignment="1">
      <alignment horizontal="left" vertical="center"/>
    </xf>
    <xf numFmtId="0" fontId="8" fillId="0" borderId="4" xfId="1" applyFont="1" applyBorder="1" applyAlignment="1">
      <alignment horizontal="center" wrapText="1"/>
    </xf>
    <xf numFmtId="0" fontId="8" fillId="0" borderId="0" xfId="1" applyFont="1" applyAlignment="1">
      <alignment horizontal="center" wrapText="1"/>
    </xf>
    <xf numFmtId="0" fontId="9" fillId="0" borderId="4" xfId="1" applyFont="1" applyBorder="1" applyAlignment="1">
      <alignment horizontal="center" vertical="center"/>
    </xf>
    <xf numFmtId="0" fontId="9" fillId="0" borderId="0" xfId="1" applyFont="1" applyAlignment="1">
      <alignment horizontal="center" vertical="center"/>
    </xf>
    <xf numFmtId="0" fontId="12" fillId="0" borderId="0" xfId="0" applyFont="1" applyAlignment="1">
      <alignment horizontal="left" vertical="top" wrapText="1"/>
    </xf>
    <xf numFmtId="0" fontId="20" fillId="0" borderId="0" xfId="1" applyFont="1"/>
    <xf numFmtId="0" fontId="12" fillId="0" borderId="0" xfId="0" applyFont="1" applyAlignment="1">
      <alignment horizontal="left" vertical="center" wrapText="1"/>
    </xf>
    <xf numFmtId="0" fontId="12" fillId="0" borderId="0" xfId="0" applyFont="1" applyAlignment="1">
      <alignment horizontal="center" vertical="center" wrapText="1"/>
    </xf>
    <xf numFmtId="0" fontId="12" fillId="0" borderId="13" xfId="0" applyFont="1" applyBorder="1" applyAlignment="1">
      <alignment horizontal="left" vertical="center"/>
    </xf>
    <xf numFmtId="0" fontId="2" fillId="9" borderId="0" xfId="0" applyFont="1" applyFill="1" applyAlignment="1">
      <alignment vertical="center"/>
    </xf>
    <xf numFmtId="0" fontId="0" fillId="7" borderId="0" xfId="0" applyFill="1" applyAlignment="1">
      <alignment horizontal="left" vertical="top"/>
    </xf>
    <xf numFmtId="0" fontId="0" fillId="0" borderId="17" xfId="0" applyBorder="1" applyAlignment="1">
      <alignment horizontal="left" vertical="top"/>
    </xf>
    <xf numFmtId="0" fontId="21" fillId="0" borderId="0" xfId="0" applyFont="1" applyAlignment="1">
      <alignment horizontal="left" vertical="top"/>
    </xf>
    <xf numFmtId="0" fontId="0" fillId="0" borderId="20" xfId="0" applyBorder="1" applyAlignment="1">
      <alignment horizontal="left" vertical="top"/>
    </xf>
    <xf numFmtId="0" fontId="21" fillId="0" borderId="0" xfId="0" applyFont="1" applyAlignment="1">
      <alignment vertical="top"/>
    </xf>
    <xf numFmtId="0" fontId="0" fillId="0" borderId="22" xfId="0" applyBorder="1" applyAlignment="1">
      <alignment horizontal="left" vertical="top"/>
    </xf>
    <xf numFmtId="0" fontId="12" fillId="8" borderId="13" xfId="0" applyFont="1" applyFill="1" applyBorder="1" applyAlignment="1">
      <alignment horizontal="left" vertical="center"/>
    </xf>
    <xf numFmtId="0" fontId="0" fillId="8" borderId="15" xfId="0" applyFill="1" applyBorder="1" applyAlignment="1">
      <alignment horizontal="left" vertical="top"/>
    </xf>
    <xf numFmtId="0" fontId="12" fillId="8" borderId="17" xfId="0" applyFont="1" applyFill="1" applyBorder="1" applyAlignment="1">
      <alignment horizontal="left" vertical="center"/>
    </xf>
    <xf numFmtId="0" fontId="0" fillId="8" borderId="0" xfId="0" applyFill="1" applyAlignment="1">
      <alignment horizontal="left" vertical="center"/>
    </xf>
    <xf numFmtId="0" fontId="12" fillId="8" borderId="0" xfId="0" applyFont="1" applyFill="1" applyAlignment="1">
      <alignment horizontal="left" vertical="center"/>
    </xf>
    <xf numFmtId="0" fontId="0" fillId="8" borderId="0" xfId="0" applyFill="1" applyAlignment="1">
      <alignment horizontal="left" vertical="top"/>
    </xf>
    <xf numFmtId="0" fontId="0" fillId="8" borderId="20" xfId="0" applyFill="1" applyBorder="1" applyAlignment="1">
      <alignment horizontal="left" vertical="top"/>
    </xf>
    <xf numFmtId="0" fontId="0" fillId="0" borderId="21" xfId="0" applyBorder="1" applyAlignment="1">
      <alignment horizontal="left" vertical="top"/>
    </xf>
    <xf numFmtId="0" fontId="0" fillId="0" borderId="23" xfId="0" applyBorder="1" applyAlignment="1">
      <alignment horizontal="left" vertical="top"/>
    </xf>
    <xf numFmtId="0" fontId="0" fillId="0" borderId="17" xfId="0" applyBorder="1" applyAlignment="1">
      <alignment horizontal="center" vertical="top"/>
    </xf>
    <xf numFmtId="0" fontId="0" fillId="0" borderId="0" xfId="0" applyAlignment="1">
      <alignment horizontal="center" vertical="top"/>
    </xf>
    <xf numFmtId="0" fontId="12" fillId="0" borderId="20" xfId="0" applyFont="1" applyBorder="1" applyAlignment="1">
      <alignment horizontal="left" vertical="center"/>
    </xf>
    <xf numFmtId="0" fontId="23" fillId="8" borderId="24" xfId="0" applyFont="1" applyFill="1" applyBorder="1" applyAlignment="1">
      <alignment horizontal="center" vertical="center"/>
    </xf>
    <xf numFmtId="0" fontId="23" fillId="8" borderId="15" xfId="0" applyFont="1" applyFill="1" applyBorder="1" applyAlignment="1">
      <alignment horizontal="center" vertical="center"/>
    </xf>
    <xf numFmtId="0" fontId="12" fillId="8" borderId="0" xfId="0" applyFont="1" applyFill="1" applyAlignment="1">
      <alignment vertical="center"/>
    </xf>
    <xf numFmtId="0" fontId="17" fillId="8" borderId="0" xfId="0" applyFont="1" applyFill="1" applyAlignment="1">
      <alignment horizontal="left" vertical="center"/>
    </xf>
    <xf numFmtId="0" fontId="7" fillId="0" borderId="0" xfId="1" applyAlignment="1">
      <alignment horizontal="center" vertical="center"/>
    </xf>
    <xf numFmtId="14" fontId="12" fillId="0" borderId="0" xfId="0" applyNumberFormat="1" applyFont="1" applyAlignment="1">
      <alignment horizontal="left" vertical="center" wrapText="1"/>
    </xf>
    <xf numFmtId="2" fontId="12" fillId="0" borderId="0" xfId="0" applyNumberFormat="1" applyFont="1" applyAlignment="1">
      <alignment horizontal="left" vertical="center" wrapText="1"/>
    </xf>
    <xf numFmtId="0" fontId="0" fillId="0" borderId="0" xfId="0" applyAlignment="1">
      <alignment horizontal="left" vertical="top" wrapText="1"/>
    </xf>
    <xf numFmtId="14" fontId="0" fillId="0" borderId="0" xfId="0" applyNumberFormat="1" applyAlignment="1">
      <alignment horizontal="left" vertical="top" wrapText="1"/>
    </xf>
    <xf numFmtId="2" fontId="0" fillId="0" borderId="0" xfId="0" applyNumberFormat="1" applyAlignment="1">
      <alignment horizontal="left" vertical="top" wrapText="1"/>
    </xf>
    <xf numFmtId="9" fontId="0" fillId="0" borderId="0" xfId="3" applyFont="1" applyAlignment="1">
      <alignment horizontal="left" vertical="top"/>
    </xf>
    <xf numFmtId="0" fontId="27" fillId="0" borderId="0" xfId="4" applyProtection="1">
      <protection locked="0"/>
    </xf>
    <xf numFmtId="0" fontId="30" fillId="0" borderId="0" xfId="4" applyFont="1"/>
    <xf numFmtId="0" fontId="29" fillId="7" borderId="1" xfId="4" applyFont="1" applyFill="1" applyBorder="1" applyAlignment="1">
      <alignment horizontal="right"/>
    </xf>
    <xf numFmtId="0" fontId="32" fillId="7" borderId="1" xfId="4" applyFont="1" applyFill="1" applyBorder="1" applyAlignment="1">
      <alignment horizontal="right"/>
    </xf>
    <xf numFmtId="0" fontId="33" fillId="0" borderId="0" xfId="4" applyFont="1" applyProtection="1">
      <protection locked="0"/>
    </xf>
    <xf numFmtId="0" fontId="29" fillId="7" borderId="10" xfId="4" applyFont="1" applyFill="1" applyBorder="1" applyAlignment="1">
      <alignment horizontal="right"/>
    </xf>
    <xf numFmtId="0" fontId="33" fillId="14" borderId="12" xfId="4" applyFont="1" applyFill="1" applyBorder="1" applyAlignment="1">
      <alignment horizontal="left" vertical="center"/>
    </xf>
    <xf numFmtId="0" fontId="33" fillId="14" borderId="5" xfId="4" applyFont="1" applyFill="1" applyBorder="1" applyAlignment="1">
      <alignment horizontal="left" vertical="center"/>
    </xf>
    <xf numFmtId="0" fontId="33" fillId="14" borderId="6" xfId="4" applyFont="1" applyFill="1" applyBorder="1" applyAlignment="1">
      <alignment horizontal="left" vertical="center"/>
    </xf>
    <xf numFmtId="0" fontId="29" fillId="15" borderId="27" xfId="4" applyFont="1" applyFill="1" applyBorder="1" applyAlignment="1">
      <alignment horizontal="center"/>
    </xf>
    <xf numFmtId="9" fontId="29" fillId="0" borderId="28" xfId="5" applyFont="1" applyFill="1" applyBorder="1" applyAlignment="1" applyProtection="1">
      <alignment horizontal="center" vertical="center"/>
    </xf>
    <xf numFmtId="0" fontId="37" fillId="0" borderId="28" xfId="4" applyFont="1" applyBorder="1" applyAlignment="1">
      <alignment horizontal="center" vertical="center" wrapText="1"/>
    </xf>
    <xf numFmtId="0" fontId="29" fillId="0" borderId="28" xfId="4" applyFont="1" applyBorder="1" applyAlignment="1">
      <alignment horizontal="center" vertical="center" wrapText="1"/>
    </xf>
    <xf numFmtId="0" fontId="38" fillId="16" borderId="28" xfId="4" applyFont="1" applyFill="1" applyBorder="1" applyAlignment="1">
      <alignment horizontal="center" vertical="top" wrapText="1"/>
    </xf>
    <xf numFmtId="0" fontId="38" fillId="17" borderId="28" xfId="4" applyFont="1" applyFill="1" applyBorder="1" applyAlignment="1">
      <alignment horizontal="center" vertical="top" wrapText="1"/>
    </xf>
    <xf numFmtId="0" fontId="38" fillId="12" borderId="28" xfId="4" applyFont="1" applyFill="1" applyBorder="1" applyAlignment="1">
      <alignment horizontal="center" vertical="top" wrapText="1"/>
    </xf>
    <xf numFmtId="0" fontId="38" fillId="18" borderId="28" xfId="4" applyFont="1" applyFill="1" applyBorder="1" applyAlignment="1">
      <alignment horizontal="center" vertical="top" wrapText="1"/>
    </xf>
    <xf numFmtId="0" fontId="38" fillId="19" borderId="28" xfId="4" applyFont="1" applyFill="1" applyBorder="1" applyAlignment="1">
      <alignment horizontal="center" vertical="top" wrapText="1"/>
    </xf>
    <xf numFmtId="1" fontId="39" fillId="0" borderId="28" xfId="4" applyNumberFormat="1" applyFont="1" applyBorder="1" applyAlignment="1" applyProtection="1">
      <alignment horizontal="center" vertical="center"/>
      <protection locked="0"/>
    </xf>
    <xf numFmtId="0" fontId="34" fillId="0" borderId="0" xfId="4" applyFont="1" applyAlignment="1" applyProtection="1">
      <alignment horizontal="center" vertical="center"/>
      <protection locked="0"/>
    </xf>
    <xf numFmtId="0" fontId="35" fillId="0" borderId="0" xfId="4" applyFont="1" applyAlignment="1" applyProtection="1">
      <alignment horizontal="center" vertical="center"/>
      <protection locked="0"/>
    </xf>
    <xf numFmtId="9" fontId="29" fillId="0" borderId="29" xfId="5" applyFont="1" applyFill="1" applyBorder="1" applyAlignment="1" applyProtection="1">
      <alignment horizontal="center" vertical="center" wrapText="1"/>
    </xf>
    <xf numFmtId="0" fontId="38" fillId="16" borderId="29" xfId="4" applyFont="1" applyFill="1" applyBorder="1" applyAlignment="1">
      <alignment horizontal="center" vertical="top" wrapText="1"/>
    </xf>
    <xf numFmtId="0" fontId="38" fillId="17" borderId="29" xfId="4" applyFont="1" applyFill="1" applyBorder="1" applyAlignment="1">
      <alignment horizontal="center" vertical="top" wrapText="1"/>
    </xf>
    <xf numFmtId="0" fontId="38" fillId="12" borderId="29" xfId="4" applyFont="1" applyFill="1" applyBorder="1" applyAlignment="1">
      <alignment horizontal="center" vertical="top" wrapText="1"/>
    </xf>
    <xf numFmtId="0" fontId="38" fillId="18" borderId="29" xfId="4" applyFont="1" applyFill="1" applyBorder="1" applyAlignment="1">
      <alignment horizontal="center" vertical="top" wrapText="1"/>
    </xf>
    <xf numFmtId="0" fontId="38" fillId="19" borderId="29" xfId="4" applyFont="1" applyFill="1" applyBorder="1" applyAlignment="1">
      <alignment horizontal="center" vertical="top" wrapText="1"/>
    </xf>
    <xf numFmtId="0" fontId="38" fillId="16" borderId="31" xfId="4" applyFont="1" applyFill="1" applyBorder="1" applyAlignment="1">
      <alignment horizontal="left" vertical="top" wrapText="1"/>
    </xf>
    <xf numFmtId="0" fontId="38" fillId="17" borderId="32" xfId="4" applyFont="1" applyFill="1" applyBorder="1" applyAlignment="1">
      <alignment horizontal="left" vertical="top" wrapText="1"/>
    </xf>
    <xf numFmtId="0" fontId="38" fillId="12" borderId="32" xfId="4" applyFont="1" applyFill="1" applyBorder="1" applyAlignment="1">
      <alignment horizontal="left" vertical="top" wrapText="1"/>
    </xf>
    <xf numFmtId="0" fontId="38" fillId="18" borderId="32" xfId="4" applyFont="1" applyFill="1" applyBorder="1" applyAlignment="1">
      <alignment horizontal="left" vertical="top" wrapText="1"/>
    </xf>
    <xf numFmtId="0" fontId="38" fillId="19" borderId="33" xfId="4" applyFont="1" applyFill="1" applyBorder="1" applyAlignment="1">
      <alignment horizontal="left" vertical="top" wrapText="1"/>
    </xf>
    <xf numFmtId="0" fontId="41" fillId="16" borderId="35" xfId="4" applyFont="1" applyFill="1" applyBorder="1" applyAlignment="1">
      <alignment horizontal="center" vertical="top" wrapText="1"/>
    </xf>
    <xf numFmtId="0" fontId="38" fillId="17" borderId="36" xfId="4" applyFont="1" applyFill="1" applyBorder="1" applyAlignment="1">
      <alignment horizontal="center" vertical="top" wrapText="1"/>
    </xf>
    <xf numFmtId="0" fontId="38" fillId="20" borderId="36" xfId="4" applyFont="1" applyFill="1" applyBorder="1" applyAlignment="1">
      <alignment horizontal="center" vertical="top" wrapText="1"/>
    </xf>
    <xf numFmtId="0" fontId="38" fillId="18" borderId="36" xfId="4" applyFont="1" applyFill="1" applyBorder="1" applyAlignment="1">
      <alignment horizontal="center" vertical="top" wrapText="1"/>
    </xf>
    <xf numFmtId="0" fontId="38" fillId="19" borderId="37" xfId="4" applyFont="1" applyFill="1" applyBorder="1" applyAlignment="1">
      <alignment horizontal="center" vertical="top" wrapText="1"/>
    </xf>
    <xf numFmtId="0" fontId="43" fillId="16" borderId="38" xfId="4" applyFont="1" applyFill="1" applyBorder="1" applyAlignment="1">
      <alignment horizontal="center" vertical="center" wrapText="1"/>
    </xf>
    <xf numFmtId="0" fontId="43" fillId="7" borderId="38" xfId="4" applyFont="1" applyFill="1" applyBorder="1" applyAlignment="1">
      <alignment horizontal="center" vertical="center" wrapText="1"/>
    </xf>
    <xf numFmtId="0" fontId="43" fillId="20" borderId="38" xfId="4" applyFont="1" applyFill="1" applyBorder="1" applyAlignment="1">
      <alignment horizontal="center" vertical="center" wrapText="1"/>
    </xf>
    <xf numFmtId="0" fontId="43" fillId="18" borderId="38" xfId="4" applyFont="1" applyFill="1" applyBorder="1" applyAlignment="1">
      <alignment horizontal="center" vertical="center" wrapText="1"/>
    </xf>
    <xf numFmtId="0" fontId="43" fillId="19" borderId="38" xfId="4" applyFont="1" applyFill="1" applyBorder="1" applyAlignment="1">
      <alignment horizontal="center" vertical="center" wrapText="1"/>
    </xf>
    <xf numFmtId="0" fontId="38" fillId="16" borderId="38" xfId="4" applyFont="1" applyFill="1" applyBorder="1" applyAlignment="1">
      <alignment horizontal="center" vertical="top" wrapText="1"/>
    </xf>
    <xf numFmtId="0" fontId="38" fillId="20" borderId="40" xfId="4" applyFont="1" applyFill="1" applyBorder="1" applyAlignment="1">
      <alignment horizontal="center" vertical="top" wrapText="1"/>
    </xf>
    <xf numFmtId="0" fontId="38" fillId="18" borderId="40" xfId="4" applyFont="1" applyFill="1" applyBorder="1" applyAlignment="1">
      <alignment horizontal="center" vertical="top" wrapText="1"/>
    </xf>
    <xf numFmtId="0" fontId="38" fillId="16" borderId="42" xfId="4" applyFont="1" applyFill="1" applyBorder="1" applyAlignment="1">
      <alignment horizontal="center" vertical="top" wrapText="1"/>
    </xf>
    <xf numFmtId="0" fontId="38" fillId="7" borderId="43" xfId="4" applyFont="1" applyFill="1" applyBorder="1" applyAlignment="1">
      <alignment horizontal="center" vertical="top" wrapText="1"/>
    </xf>
    <xf numFmtId="0" fontId="38" fillId="20" borderId="43" xfId="4" applyFont="1" applyFill="1" applyBorder="1" applyAlignment="1">
      <alignment horizontal="center" vertical="top" wrapText="1"/>
    </xf>
    <xf numFmtId="0" fontId="38" fillId="18" borderId="43" xfId="4" applyFont="1" applyFill="1" applyBorder="1" applyAlignment="1">
      <alignment horizontal="center" vertical="top" wrapText="1"/>
    </xf>
    <xf numFmtId="0" fontId="38" fillId="16" borderId="31" xfId="4" applyFont="1" applyFill="1" applyBorder="1" applyAlignment="1">
      <alignment horizontal="center" vertical="top" wrapText="1"/>
    </xf>
    <xf numFmtId="0" fontId="38" fillId="7" borderId="32" xfId="4" applyFont="1" applyFill="1" applyBorder="1" applyAlignment="1">
      <alignment horizontal="center" vertical="top" wrapText="1"/>
    </xf>
    <xf numFmtId="0" fontId="38" fillId="20" borderId="32" xfId="4" applyFont="1" applyFill="1" applyBorder="1" applyAlignment="1">
      <alignment horizontal="center" vertical="top" wrapText="1"/>
    </xf>
    <xf numFmtId="0" fontId="38" fillId="18" borderId="32" xfId="4" applyFont="1" applyFill="1" applyBorder="1" applyAlignment="1">
      <alignment horizontal="center" vertical="top" wrapText="1"/>
    </xf>
    <xf numFmtId="0" fontId="38" fillId="19" borderId="33" xfId="4" applyFont="1" applyFill="1" applyBorder="1" applyAlignment="1">
      <alignment horizontal="center" vertical="top" wrapText="1"/>
    </xf>
    <xf numFmtId="9" fontId="29" fillId="0" borderId="28" xfId="5" applyFont="1" applyFill="1" applyBorder="1" applyAlignment="1" applyProtection="1">
      <alignment horizontal="center" vertical="center" wrapText="1"/>
    </xf>
    <xf numFmtId="0" fontId="33" fillId="0" borderId="0" xfId="4" applyFont="1" applyAlignment="1" applyProtection="1">
      <alignment horizontal="left" vertical="top" wrapText="1"/>
      <protection locked="0"/>
    </xf>
    <xf numFmtId="0" fontId="33" fillId="0" borderId="0" xfId="4" applyFont="1" applyAlignment="1" applyProtection="1">
      <alignment vertical="top" wrapText="1"/>
      <protection locked="0"/>
    </xf>
    <xf numFmtId="0" fontId="38" fillId="16" borderId="46" xfId="4" applyFont="1" applyFill="1" applyBorder="1" applyAlignment="1">
      <alignment horizontal="left" vertical="top" wrapText="1"/>
    </xf>
    <xf numFmtId="0" fontId="38" fillId="17" borderId="47" xfId="4" applyFont="1" applyFill="1" applyBorder="1" applyAlignment="1">
      <alignment horizontal="left" vertical="top" wrapText="1"/>
    </xf>
    <xf numFmtId="0" fontId="38" fillId="12" borderId="47" xfId="4" applyFont="1" applyFill="1" applyBorder="1" applyAlignment="1">
      <alignment horizontal="left" vertical="top" wrapText="1"/>
    </xf>
    <xf numFmtId="0" fontId="38" fillId="18" borderId="47" xfId="4" applyFont="1" applyFill="1" applyBorder="1" applyAlignment="1">
      <alignment horizontal="left" vertical="top" wrapText="1"/>
    </xf>
    <xf numFmtId="0" fontId="38" fillId="19" borderId="48" xfId="4" applyFont="1" applyFill="1" applyBorder="1" applyAlignment="1">
      <alignment horizontal="left" vertical="top" wrapText="1"/>
    </xf>
    <xf numFmtId="0" fontId="38" fillId="16" borderId="49" xfId="4" applyFont="1" applyFill="1" applyBorder="1" applyAlignment="1">
      <alignment horizontal="left" vertical="top" wrapText="1"/>
    </xf>
    <xf numFmtId="0" fontId="38" fillId="17" borderId="50" xfId="4" applyFont="1" applyFill="1" applyBorder="1" applyAlignment="1">
      <alignment horizontal="left" vertical="top" wrapText="1"/>
    </xf>
    <xf numFmtId="0" fontId="38" fillId="12" borderId="50" xfId="4" applyFont="1" applyFill="1" applyBorder="1" applyAlignment="1">
      <alignment horizontal="left" vertical="top" wrapText="1"/>
    </xf>
    <xf numFmtId="0" fontId="38" fillId="18" borderId="50" xfId="4" applyFont="1" applyFill="1" applyBorder="1" applyAlignment="1">
      <alignment horizontal="left" vertical="top" wrapText="1"/>
    </xf>
    <xf numFmtId="0" fontId="38" fillId="19" borderId="51" xfId="4" applyFont="1" applyFill="1" applyBorder="1" applyAlignment="1">
      <alignment horizontal="left" vertical="top" wrapText="1"/>
    </xf>
    <xf numFmtId="0" fontId="38" fillId="16" borderId="35" xfId="4" applyFont="1" applyFill="1" applyBorder="1" applyAlignment="1">
      <alignment horizontal="left" vertical="top" wrapText="1"/>
    </xf>
    <xf numFmtId="0" fontId="38" fillId="17" borderId="36" xfId="4" applyFont="1" applyFill="1" applyBorder="1" applyAlignment="1">
      <alignment horizontal="left" vertical="top" wrapText="1"/>
    </xf>
    <xf numFmtId="0" fontId="38" fillId="12" borderId="36" xfId="4" applyFont="1" applyFill="1" applyBorder="1" applyAlignment="1">
      <alignment horizontal="left" vertical="top" wrapText="1"/>
    </xf>
    <xf numFmtId="0" fontId="38" fillId="18" borderId="36" xfId="4" applyFont="1" applyFill="1" applyBorder="1" applyAlignment="1">
      <alignment horizontal="left" vertical="top" wrapText="1"/>
    </xf>
    <xf numFmtId="0" fontId="38" fillId="19" borderId="37" xfId="4" applyFont="1" applyFill="1" applyBorder="1" applyAlignment="1">
      <alignment horizontal="left" vertical="top" wrapText="1"/>
    </xf>
    <xf numFmtId="0" fontId="38" fillId="16" borderId="28" xfId="4" applyFont="1" applyFill="1" applyBorder="1" applyAlignment="1">
      <alignment horizontal="left" vertical="top" wrapText="1"/>
    </xf>
    <xf numFmtId="0" fontId="38" fillId="17" borderId="28" xfId="4" applyFont="1" applyFill="1" applyBorder="1" applyAlignment="1">
      <alignment horizontal="left" vertical="top" wrapText="1"/>
    </xf>
    <xf numFmtId="0" fontId="38" fillId="12" borderId="28" xfId="4" applyFont="1" applyFill="1" applyBorder="1" applyAlignment="1">
      <alignment horizontal="left" vertical="top" wrapText="1"/>
    </xf>
    <xf numFmtId="0" fontId="38" fillId="18" borderId="28" xfId="4" applyFont="1" applyFill="1" applyBorder="1" applyAlignment="1">
      <alignment horizontal="left" vertical="top" wrapText="1"/>
    </xf>
    <xf numFmtId="0" fontId="38" fillId="19" borderId="28" xfId="4" applyFont="1" applyFill="1" applyBorder="1" applyAlignment="1">
      <alignment horizontal="left" vertical="top" wrapText="1"/>
    </xf>
    <xf numFmtId="0" fontId="34" fillId="0" borderId="0" xfId="4" applyFont="1" applyAlignment="1" applyProtection="1">
      <alignment horizontal="center"/>
      <protection locked="0"/>
    </xf>
    <xf numFmtId="0" fontId="34" fillId="0" borderId="28" xfId="4" applyFont="1" applyBorder="1" applyAlignment="1">
      <alignment horizontal="center" vertical="center" wrapText="1"/>
    </xf>
    <xf numFmtId="1" fontId="27" fillId="0" borderId="0" xfId="4" applyNumberFormat="1" applyProtection="1">
      <protection locked="0"/>
    </xf>
    <xf numFmtId="0" fontId="30" fillId="0" borderId="28" xfId="4" applyFont="1" applyBorder="1" applyAlignment="1">
      <alignment horizontal="center" vertical="center"/>
    </xf>
    <xf numFmtId="0" fontId="29" fillId="0" borderId="0" xfId="4" applyFont="1" applyAlignment="1">
      <alignment horizontal="center" vertical="center" wrapText="1"/>
    </xf>
    <xf numFmtId="0" fontId="30" fillId="0" borderId="30" xfId="4" applyFont="1" applyBorder="1" applyAlignment="1">
      <alignment horizontal="center" vertical="center"/>
    </xf>
    <xf numFmtId="16" fontId="30" fillId="0" borderId="28" xfId="4" applyNumberFormat="1" applyFont="1" applyBorder="1" applyAlignment="1">
      <alignment horizontal="center" vertical="center"/>
    </xf>
    <xf numFmtId="0" fontId="30" fillId="0" borderId="54" xfId="4" applyFont="1" applyBorder="1" applyAlignment="1">
      <alignment horizontal="center" vertical="center"/>
    </xf>
    <xf numFmtId="49" fontId="31" fillId="22" borderId="4" xfId="4" applyNumberFormat="1" applyFont="1" applyFill="1" applyBorder="1" applyAlignment="1">
      <alignment horizontal="left" vertical="top"/>
    </xf>
    <xf numFmtId="49" fontId="31" fillId="22" borderId="0" xfId="4" applyNumberFormat="1" applyFont="1" applyFill="1" applyAlignment="1">
      <alignment horizontal="left" vertical="top"/>
    </xf>
    <xf numFmtId="0" fontId="30" fillId="0" borderId="0" xfId="4" applyFont="1" applyAlignment="1">
      <alignment horizontal="left" vertical="top"/>
    </xf>
    <xf numFmtId="0" fontId="27" fillId="0" borderId="0" xfId="4"/>
    <xf numFmtId="0" fontId="27" fillId="0" borderId="4" xfId="4" applyBorder="1" applyProtection="1">
      <protection locked="0"/>
    </xf>
    <xf numFmtId="0" fontId="48" fillId="0" borderId="0" xfId="0" applyFont="1" applyAlignment="1">
      <alignment wrapText="1"/>
    </xf>
    <xf numFmtId="0" fontId="52" fillId="23" borderId="55" xfId="0" applyFont="1" applyFill="1" applyBorder="1" applyAlignment="1">
      <alignment horizontal="right" vertical="center" wrapText="1"/>
    </xf>
    <xf numFmtId="0" fontId="52" fillId="29" borderId="59" xfId="0" applyFont="1" applyFill="1" applyBorder="1" applyAlignment="1">
      <alignment vertical="center" wrapText="1"/>
    </xf>
    <xf numFmtId="0" fontId="49" fillId="0" borderId="58" xfId="0" applyFont="1" applyBorder="1" applyAlignment="1">
      <alignment horizontal="center" vertical="center" wrapText="1"/>
    </xf>
    <xf numFmtId="0" fontId="17" fillId="11" borderId="55" xfId="0" applyFont="1" applyFill="1" applyBorder="1" applyAlignment="1">
      <alignment horizontal="center" vertical="center" wrapText="1"/>
    </xf>
    <xf numFmtId="0" fontId="51" fillId="23" borderId="55" xfId="0" applyFont="1" applyFill="1" applyBorder="1" applyAlignment="1">
      <alignment horizontal="center" vertical="center" wrapText="1"/>
    </xf>
    <xf numFmtId="0" fontId="51" fillId="25" borderId="55" xfId="0" applyFont="1" applyFill="1" applyBorder="1" applyAlignment="1">
      <alignment horizontal="center" vertical="center" wrapText="1"/>
    </xf>
    <xf numFmtId="0" fontId="51" fillId="26" borderId="55" xfId="0" applyFont="1" applyFill="1" applyBorder="1" applyAlignment="1">
      <alignment horizontal="center" vertical="center" wrapText="1"/>
    </xf>
    <xf numFmtId="0" fontId="51" fillId="27" borderId="55" xfId="0" applyFont="1" applyFill="1" applyBorder="1" applyAlignment="1">
      <alignment horizontal="center" vertical="center" wrapText="1"/>
    </xf>
    <xf numFmtId="0" fontId="53" fillId="0" borderId="55" xfId="0" applyFont="1" applyBorder="1" applyAlignment="1">
      <alignment horizontal="center" vertical="center" wrapText="1"/>
    </xf>
    <xf numFmtId="0" fontId="17" fillId="23" borderId="55" xfId="0" applyFont="1" applyFill="1" applyBorder="1" applyAlignment="1">
      <alignment horizontal="center" vertical="center" wrapText="1"/>
    </xf>
    <xf numFmtId="0" fontId="17" fillId="25" borderId="55" xfId="0" applyFont="1" applyFill="1" applyBorder="1" applyAlignment="1">
      <alignment horizontal="center" vertical="center" wrapText="1"/>
    </xf>
    <xf numFmtId="0" fontId="17" fillId="26" borderId="55" xfId="0" applyFont="1" applyFill="1" applyBorder="1" applyAlignment="1">
      <alignment horizontal="center" vertical="center" wrapText="1"/>
    </xf>
    <xf numFmtId="0" fontId="17" fillId="27" borderId="55" xfId="0" applyFont="1" applyFill="1" applyBorder="1" applyAlignment="1">
      <alignment horizontal="center" vertical="center" wrapText="1"/>
    </xf>
    <xf numFmtId="0" fontId="51" fillId="11" borderId="56" xfId="0" applyFont="1" applyFill="1" applyBorder="1" applyAlignment="1">
      <alignment horizontal="center" vertical="center" wrapText="1"/>
    </xf>
    <xf numFmtId="0" fontId="51" fillId="23" borderId="56" xfId="0" applyFont="1" applyFill="1" applyBorder="1" applyAlignment="1">
      <alignment horizontal="center" vertical="center" wrapText="1"/>
    </xf>
    <xf numFmtId="0" fontId="51" fillId="25" borderId="56" xfId="0" applyFont="1" applyFill="1" applyBorder="1" applyAlignment="1">
      <alignment horizontal="center" vertical="center" wrapText="1"/>
    </xf>
    <xf numFmtId="0" fontId="51" fillId="26" borderId="56" xfId="0" applyFont="1" applyFill="1" applyBorder="1" applyAlignment="1">
      <alignment horizontal="center" vertical="center" wrapText="1"/>
    </xf>
    <xf numFmtId="0" fontId="51" fillId="27" borderId="56" xfId="0" applyFont="1" applyFill="1" applyBorder="1" applyAlignment="1">
      <alignment horizontal="center" vertical="center" wrapText="1"/>
    </xf>
    <xf numFmtId="0" fontId="49" fillId="11" borderId="0" xfId="0" applyFont="1" applyFill="1" applyAlignment="1">
      <alignment horizontal="center" vertical="center" wrapText="1"/>
    </xf>
    <xf numFmtId="0" fontId="49" fillId="23" borderId="0" xfId="0" applyFont="1" applyFill="1" applyAlignment="1">
      <alignment horizontal="center" vertical="center" wrapText="1"/>
    </xf>
    <xf numFmtId="0" fontId="49" fillId="25" borderId="0" xfId="0" applyFont="1" applyFill="1" applyAlignment="1">
      <alignment horizontal="center" vertical="center" wrapText="1"/>
    </xf>
    <xf numFmtId="0" fontId="49" fillId="26" borderId="0" xfId="0" applyFont="1" applyFill="1" applyAlignment="1">
      <alignment horizontal="center" vertical="center" wrapText="1"/>
    </xf>
    <xf numFmtId="0" fontId="49" fillId="27" borderId="0" xfId="0" applyFont="1" applyFill="1" applyAlignment="1">
      <alignment horizontal="center" vertical="center" wrapText="1"/>
    </xf>
    <xf numFmtId="0" fontId="51" fillId="11" borderId="60" xfId="0" applyFont="1" applyFill="1" applyBorder="1" applyAlignment="1">
      <alignment horizontal="center" vertical="center" wrapText="1"/>
    </xf>
    <xf numFmtId="0" fontId="51" fillId="25" borderId="60" xfId="0" applyFont="1" applyFill="1" applyBorder="1" applyAlignment="1">
      <alignment horizontal="center" vertical="center" wrapText="1"/>
    </xf>
    <xf numFmtId="0" fontId="51" fillId="26" borderId="60" xfId="0" applyFont="1" applyFill="1" applyBorder="1" applyAlignment="1">
      <alignment horizontal="center" vertical="center" wrapText="1"/>
    </xf>
    <xf numFmtId="0" fontId="51" fillId="11" borderId="62" xfId="0" applyFont="1" applyFill="1" applyBorder="1" applyAlignment="1">
      <alignment horizontal="center" vertical="center" wrapText="1"/>
    </xf>
    <xf numFmtId="0" fontId="17" fillId="23" borderId="63" xfId="0" applyFont="1" applyFill="1" applyBorder="1" applyAlignment="1">
      <alignment horizontal="center" vertical="center" wrapText="1"/>
    </xf>
    <xf numFmtId="0" fontId="51" fillId="11" borderId="55" xfId="0" applyFont="1" applyFill="1" applyBorder="1" applyAlignment="1">
      <alignment horizontal="center" vertical="center" wrapText="1"/>
    </xf>
    <xf numFmtId="0" fontId="51" fillId="23" borderId="58" xfId="0" applyFont="1" applyFill="1" applyBorder="1" applyAlignment="1">
      <alignment horizontal="center" vertical="center" wrapText="1"/>
    </xf>
    <xf numFmtId="0" fontId="51" fillId="0" borderId="55" xfId="0" applyFont="1" applyBorder="1" applyAlignment="1">
      <alignment horizontal="center" vertical="center" wrapText="1"/>
    </xf>
    <xf numFmtId="1" fontId="50" fillId="0" borderId="55" xfId="0" applyNumberFormat="1" applyFont="1" applyBorder="1" applyAlignment="1">
      <alignment horizontal="center" vertical="center" shrinkToFit="1"/>
    </xf>
    <xf numFmtId="0" fontId="17" fillId="0" borderId="0" xfId="0" applyFont="1" applyAlignment="1">
      <alignment horizontal="left" vertical="top"/>
    </xf>
    <xf numFmtId="0" fontId="12" fillId="0" borderId="0" xfId="0" applyFont="1" applyAlignment="1">
      <alignment horizontal="left" vertical="top"/>
    </xf>
    <xf numFmtId="9" fontId="12" fillId="0" borderId="0" xfId="3" applyFont="1" applyAlignment="1">
      <alignment horizontal="left" vertical="top"/>
    </xf>
    <xf numFmtId="0" fontId="61" fillId="0" borderId="0" xfId="0" applyFont="1" applyAlignment="1">
      <alignment horizontal="left" vertical="top"/>
    </xf>
    <xf numFmtId="0" fontId="12" fillId="0" borderId="0" xfId="0" applyFont="1" applyAlignment="1">
      <alignment vertical="top"/>
    </xf>
    <xf numFmtId="0" fontId="2" fillId="0" borderId="0" xfId="0" applyFont="1" applyAlignment="1">
      <alignment horizontal="left" vertical="top" wrapText="1"/>
    </xf>
    <xf numFmtId="0" fontId="6" fillId="18" borderId="0" xfId="0" applyFont="1" applyFill="1" applyAlignment="1">
      <alignment horizontal="center" vertical="center"/>
    </xf>
    <xf numFmtId="0" fontId="54" fillId="0" borderId="55" xfId="0" applyFont="1" applyBorder="1" applyAlignment="1">
      <alignment horizontal="center" vertical="center" wrapText="1"/>
    </xf>
    <xf numFmtId="0" fontId="52" fillId="0" borderId="1" xfId="0" applyFont="1" applyBorder="1" applyAlignment="1">
      <alignment horizontal="center" vertical="center"/>
    </xf>
    <xf numFmtId="0" fontId="62" fillId="10" borderId="1" xfId="0" applyFont="1" applyFill="1" applyBorder="1" applyAlignment="1">
      <alignment horizontal="center" vertical="top"/>
    </xf>
    <xf numFmtId="0" fontId="62" fillId="18" borderId="0" xfId="0" applyFont="1" applyFill="1" applyAlignment="1">
      <alignment horizontal="left" vertical="top"/>
    </xf>
    <xf numFmtId="0" fontId="12" fillId="18" borderId="0" xfId="0" applyFont="1" applyFill="1" applyAlignment="1">
      <alignment horizontal="left" vertical="top"/>
    </xf>
    <xf numFmtId="0" fontId="12" fillId="18" borderId="0" xfId="0" applyFont="1" applyFill="1" applyAlignment="1">
      <alignment horizontal="center" vertical="top"/>
    </xf>
    <xf numFmtId="0" fontId="2" fillId="0" borderId="0" xfId="0" applyFont="1" applyAlignment="1">
      <alignment horizontal="left" vertical="top"/>
    </xf>
    <xf numFmtId="0" fontId="0" fillId="0" borderId="0" xfId="0" applyAlignment="1">
      <alignment horizontal="center" vertical="center"/>
    </xf>
    <xf numFmtId="9" fontId="12" fillId="0" borderId="1" xfId="3" applyFont="1" applyBorder="1" applyAlignment="1">
      <alignment horizontal="center" vertical="center"/>
    </xf>
    <xf numFmtId="0" fontId="62" fillId="10" borderId="1" xfId="0" applyFont="1" applyFill="1" applyBorder="1" applyAlignment="1">
      <alignment horizontal="center" vertical="center"/>
    </xf>
    <xf numFmtId="0" fontId="62" fillId="0" borderId="1" xfId="0" applyFont="1" applyBorder="1" applyAlignment="1">
      <alignment horizontal="center" vertical="top"/>
    </xf>
    <xf numFmtId="0" fontId="61" fillId="0" borderId="0" xfId="0" applyFont="1" applyAlignment="1">
      <alignment vertical="top" wrapText="1"/>
    </xf>
    <xf numFmtId="0" fontId="62" fillId="0" borderId="0" xfId="0" applyFont="1" applyAlignment="1">
      <alignment vertical="top" wrapText="1"/>
    </xf>
    <xf numFmtId="0" fontId="12" fillId="0" borderId="0" xfId="0" applyFont="1" applyAlignment="1">
      <alignment vertical="top" wrapText="1"/>
    </xf>
    <xf numFmtId="0" fontId="62" fillId="0" borderId="1" xfId="0" applyFont="1" applyBorder="1" applyAlignment="1">
      <alignment horizontal="left" vertical="top"/>
    </xf>
    <xf numFmtId="0" fontId="61" fillId="0" borderId="0" xfId="0" applyFont="1" applyAlignment="1">
      <alignment horizontal="center" vertical="center"/>
    </xf>
    <xf numFmtId="0" fontId="61" fillId="0" borderId="0" xfId="0" applyFont="1" applyAlignment="1">
      <alignment horizontal="center" vertical="center" wrapText="1"/>
    </xf>
    <xf numFmtId="0" fontId="12" fillId="0" borderId="0" xfId="0" applyFont="1" applyAlignment="1">
      <alignment horizontal="center" vertical="center"/>
    </xf>
    <xf numFmtId="0" fontId="66" fillId="0" borderId="0" xfId="0" applyFont="1" applyAlignment="1">
      <alignment vertical="top"/>
    </xf>
    <xf numFmtId="0" fontId="64" fillId="0" borderId="59" xfId="0" applyFont="1" applyBorder="1" applyAlignment="1" applyProtection="1">
      <alignment horizontal="center" vertical="center" wrapText="1"/>
      <protection locked="0"/>
    </xf>
    <xf numFmtId="0" fontId="0" fillId="0" borderId="0" xfId="0" applyAlignment="1">
      <alignment vertical="top"/>
    </xf>
    <xf numFmtId="0" fontId="12" fillId="0" borderId="1" xfId="0" applyFont="1" applyBorder="1" applyAlignment="1">
      <alignment horizontal="left" vertical="top"/>
    </xf>
    <xf numFmtId="0" fontId="62" fillId="0" borderId="1" xfId="0" applyFont="1" applyBorder="1" applyAlignment="1">
      <alignment horizontal="right" vertical="top"/>
    </xf>
    <xf numFmtId="0" fontId="62" fillId="0" borderId="1" xfId="0" applyFont="1" applyBorder="1" applyAlignment="1">
      <alignment vertical="top"/>
    </xf>
    <xf numFmtId="0" fontId="68" fillId="0" borderId="0" xfId="0" applyFont="1" applyAlignment="1">
      <alignment horizontal="left" vertical="top"/>
    </xf>
    <xf numFmtId="9" fontId="12" fillId="0" borderId="0" xfId="3" applyFont="1" applyBorder="1" applyAlignment="1">
      <alignment horizontal="center" vertical="center"/>
    </xf>
    <xf numFmtId="2" fontId="0" fillId="0" borderId="0" xfId="3" applyNumberFormat="1" applyFont="1" applyAlignment="1">
      <alignment horizontal="left" vertical="top" wrapText="1"/>
    </xf>
    <xf numFmtId="1" fontId="12" fillId="0" borderId="1" xfId="3" applyNumberFormat="1" applyFont="1" applyBorder="1" applyAlignment="1">
      <alignment horizontal="center" vertical="center"/>
    </xf>
    <xf numFmtId="0" fontId="69" fillId="0" borderId="12" xfId="0" applyFont="1" applyBorder="1" applyAlignment="1">
      <alignment horizontal="right" vertical="top"/>
    </xf>
    <xf numFmtId="0" fontId="71" fillId="0" borderId="5" xfId="0" applyFont="1" applyBorder="1" applyAlignment="1">
      <alignment horizontal="center" vertical="top"/>
    </xf>
    <xf numFmtId="0" fontId="0" fillId="0" borderId="0" xfId="0" applyAlignment="1">
      <alignment horizontal="center"/>
    </xf>
    <xf numFmtId="0" fontId="69" fillId="0" borderId="1" xfId="0" applyFont="1" applyBorder="1" applyAlignment="1">
      <alignment horizontal="center" vertical="top"/>
    </xf>
    <xf numFmtId="1" fontId="12" fillId="0" borderId="0" xfId="3" applyNumberFormat="1" applyFont="1" applyBorder="1" applyAlignment="1">
      <alignment horizontal="center" vertical="center"/>
    </xf>
    <xf numFmtId="0" fontId="62" fillId="10" borderId="68" xfId="0" applyFont="1" applyFill="1" applyBorder="1" applyAlignment="1">
      <alignment horizontal="center" vertical="top"/>
    </xf>
    <xf numFmtId="0" fontId="62" fillId="10" borderId="10" xfId="0" applyFont="1" applyFill="1" applyBorder="1" applyAlignment="1">
      <alignment horizontal="center" vertical="center"/>
    </xf>
    <xf numFmtId="0" fontId="12" fillId="0" borderId="0" xfId="0" applyFont="1" applyAlignment="1">
      <alignment horizontal="center" vertical="top"/>
    </xf>
    <xf numFmtId="0" fontId="62" fillId="10" borderId="10" xfId="0" applyFont="1" applyFill="1" applyBorder="1" applyAlignment="1">
      <alignment horizontal="center" vertical="top"/>
    </xf>
    <xf numFmtId="9" fontId="12" fillId="0" borderId="0" xfId="0" applyNumberFormat="1" applyFont="1" applyAlignment="1">
      <alignment horizontal="center" vertical="top"/>
    </xf>
    <xf numFmtId="0" fontId="62" fillId="10" borderId="1" xfId="0" applyFont="1" applyFill="1" applyBorder="1" applyAlignment="1">
      <alignment vertical="top"/>
    </xf>
    <xf numFmtId="0" fontId="73" fillId="0" borderId="1" xfId="0" applyFont="1" applyBorder="1" applyAlignment="1">
      <alignment horizontal="right" vertical="top"/>
    </xf>
    <xf numFmtId="0" fontId="74" fillId="0" borderId="0" xfId="0" applyFont="1" applyAlignment="1">
      <alignment horizontal="center"/>
    </xf>
    <xf numFmtId="0" fontId="0" fillId="0" borderId="1" xfId="0" applyBorder="1" applyAlignment="1">
      <alignment horizontal="center" vertical="center"/>
    </xf>
    <xf numFmtId="0" fontId="12" fillId="0" borderId="3" xfId="0" applyFont="1" applyBorder="1" applyAlignment="1">
      <alignment vertical="top"/>
    </xf>
    <xf numFmtId="0" fontId="12" fillId="0" borderId="2" xfId="0" applyFont="1" applyBorder="1" applyAlignment="1">
      <alignment horizontal="left" vertical="top"/>
    </xf>
    <xf numFmtId="0" fontId="62" fillId="18" borderId="12" xfId="0" applyFont="1" applyFill="1" applyBorder="1" applyAlignment="1">
      <alignment horizontal="left" vertical="top"/>
    </xf>
    <xf numFmtId="0" fontId="12" fillId="18" borderId="6" xfId="0" applyFont="1" applyFill="1" applyBorder="1" applyAlignment="1">
      <alignment horizontal="center" vertical="top"/>
    </xf>
    <xf numFmtId="0" fontId="51" fillId="25" borderId="64" xfId="0" applyFont="1" applyFill="1" applyBorder="1" applyAlignment="1">
      <alignment horizontal="center" vertical="center" wrapText="1"/>
    </xf>
    <xf numFmtId="0" fontId="62" fillId="0" borderId="1" xfId="0" applyFont="1" applyBorder="1" applyAlignment="1">
      <alignment horizontal="center" vertical="center"/>
    </xf>
    <xf numFmtId="9" fontId="62" fillId="0" borderId="1" xfId="3" applyFont="1" applyBorder="1" applyAlignment="1">
      <alignment horizontal="center" vertical="center"/>
    </xf>
    <xf numFmtId="0" fontId="24" fillId="0" borderId="1" xfId="0" applyFont="1" applyBorder="1" applyAlignment="1">
      <alignment horizontal="center" vertical="center"/>
    </xf>
    <xf numFmtId="9" fontId="24" fillId="0" borderId="1" xfId="0" applyNumberFormat="1" applyFont="1" applyBorder="1" applyAlignment="1">
      <alignment horizontal="center" vertical="center"/>
    </xf>
    <xf numFmtId="0" fontId="72" fillId="10" borderId="1" xfId="0" applyFont="1" applyFill="1" applyBorder="1" applyAlignment="1">
      <alignment horizontal="center" vertical="center"/>
    </xf>
    <xf numFmtId="0" fontId="50" fillId="26" borderId="58" xfId="0" applyFont="1" applyFill="1" applyBorder="1" applyAlignment="1">
      <alignment horizontal="center" vertical="center" wrapText="1"/>
    </xf>
    <xf numFmtId="0" fontId="51" fillId="0" borderId="0" xfId="0" applyFont="1" applyAlignment="1">
      <alignment horizontal="left" vertical="top" wrapText="1"/>
    </xf>
    <xf numFmtId="0" fontId="53" fillId="0" borderId="56" xfId="0" applyFont="1" applyBorder="1" applyAlignment="1">
      <alignment horizontal="center" vertical="center" wrapText="1"/>
    </xf>
    <xf numFmtId="0" fontId="64" fillId="8" borderId="73" xfId="0" applyFont="1" applyFill="1" applyBorder="1" applyAlignment="1" applyProtection="1">
      <alignment horizontal="center" vertical="center" wrapText="1"/>
      <protection locked="0"/>
    </xf>
    <xf numFmtId="0" fontId="54" fillId="0" borderId="58" xfId="0" applyFont="1" applyBorder="1" applyAlignment="1">
      <alignment horizontal="center" vertical="center" wrapText="1"/>
    </xf>
    <xf numFmtId="0" fontId="51" fillId="11" borderId="58" xfId="0" applyFont="1" applyFill="1" applyBorder="1" applyAlignment="1">
      <alignment horizontal="center" vertical="center" wrapText="1"/>
    </xf>
    <xf numFmtId="0" fontId="51" fillId="25" borderId="58" xfId="0" applyFont="1" applyFill="1" applyBorder="1" applyAlignment="1">
      <alignment horizontal="center" vertical="center" wrapText="1"/>
    </xf>
    <xf numFmtId="0" fontId="51" fillId="26" borderId="58" xfId="0" applyFont="1" applyFill="1" applyBorder="1" applyAlignment="1">
      <alignment horizontal="center" vertical="center" wrapText="1"/>
    </xf>
    <xf numFmtId="0" fontId="51" fillId="27" borderId="58" xfId="0" applyFont="1" applyFill="1" applyBorder="1" applyAlignment="1">
      <alignment horizontal="center" vertical="center" wrapText="1"/>
    </xf>
    <xf numFmtId="0" fontId="64" fillId="0" borderId="62" xfId="0" applyFont="1" applyBorder="1" applyAlignment="1" applyProtection="1">
      <alignment horizontal="center" vertical="center" wrapText="1"/>
      <protection locked="0"/>
    </xf>
    <xf numFmtId="0" fontId="49" fillId="0" borderId="74" xfId="0" applyFont="1" applyBorder="1" applyAlignment="1">
      <alignment horizontal="center" vertical="center" wrapText="1"/>
    </xf>
    <xf numFmtId="0" fontId="49" fillId="0" borderId="75" xfId="0" applyFont="1" applyBorder="1" applyAlignment="1">
      <alignment horizontal="center" vertical="center" wrapText="1"/>
    </xf>
    <xf numFmtId="0" fontId="49" fillId="0" borderId="76" xfId="0" applyFont="1" applyBorder="1" applyAlignment="1">
      <alignment horizontal="center" vertical="center" wrapText="1"/>
    </xf>
    <xf numFmtId="0" fontId="22" fillId="0" borderId="0" xfId="0" applyFont="1" applyAlignment="1">
      <alignment horizontal="center" vertical="center" wrapText="1"/>
    </xf>
    <xf numFmtId="0" fontId="52" fillId="0" borderId="0" xfId="0" applyFont="1" applyAlignment="1">
      <alignment horizontal="center" vertical="center"/>
    </xf>
    <xf numFmtId="0" fontId="64" fillId="31" borderId="72" xfId="0" applyFont="1" applyFill="1" applyBorder="1" applyAlignment="1">
      <alignment horizontal="center" vertical="center"/>
    </xf>
    <xf numFmtId="0" fontId="64" fillId="32" borderId="72" xfId="0" applyFont="1" applyFill="1" applyBorder="1" applyAlignment="1">
      <alignment horizontal="center" vertical="center"/>
    </xf>
    <xf numFmtId="0" fontId="0" fillId="0" borderId="72" xfId="0" applyBorder="1" applyAlignment="1">
      <alignment horizontal="left" vertical="top"/>
    </xf>
    <xf numFmtId="0" fontId="52" fillId="23" borderId="59" xfId="0" applyFont="1" applyFill="1" applyBorder="1" applyAlignment="1">
      <alignment horizontal="right" vertical="center" wrapText="1"/>
    </xf>
    <xf numFmtId="0" fontId="24" fillId="24" borderId="61" xfId="0" applyFont="1" applyFill="1" applyBorder="1" applyAlignment="1">
      <alignment horizontal="center" vertical="center" wrapText="1"/>
    </xf>
    <xf numFmtId="0" fontId="49" fillId="0" borderId="62" xfId="0" applyFont="1" applyBorder="1" applyAlignment="1">
      <alignment horizontal="center" vertical="center" wrapText="1"/>
    </xf>
    <xf numFmtId="0" fontId="17" fillId="0" borderId="71" xfId="0" applyFont="1" applyBorder="1" applyAlignment="1">
      <alignment horizontal="left" wrapText="1"/>
    </xf>
    <xf numFmtId="0" fontId="17" fillId="11" borderId="56" xfId="0" applyFont="1" applyFill="1" applyBorder="1" applyAlignment="1">
      <alignment horizontal="center" vertical="center" wrapText="1"/>
    </xf>
    <xf numFmtId="0" fontId="17" fillId="23" borderId="56" xfId="0" applyFont="1" applyFill="1" applyBorder="1" applyAlignment="1">
      <alignment horizontal="center" vertical="center" wrapText="1"/>
    </xf>
    <xf numFmtId="0" fontId="17" fillId="25" borderId="56" xfId="0" applyFont="1" applyFill="1" applyBorder="1" applyAlignment="1">
      <alignment horizontal="center" vertical="center" wrapText="1"/>
    </xf>
    <xf numFmtId="0" fontId="17" fillId="26" borderId="56" xfId="0" applyFont="1" applyFill="1" applyBorder="1" applyAlignment="1">
      <alignment horizontal="center" vertical="center" wrapText="1"/>
    </xf>
    <xf numFmtId="0" fontId="17" fillId="27" borderId="56" xfId="0" applyFont="1" applyFill="1" applyBorder="1" applyAlignment="1">
      <alignment horizontal="center" vertical="center" wrapText="1"/>
    </xf>
    <xf numFmtId="0" fontId="64" fillId="0" borderId="73" xfId="0" applyFont="1" applyBorder="1" applyAlignment="1" applyProtection="1">
      <alignment horizontal="center" vertical="center" wrapText="1"/>
      <protection locked="0"/>
    </xf>
    <xf numFmtId="0" fontId="51" fillId="0" borderId="56" xfId="0" applyFont="1" applyBorder="1" applyAlignment="1">
      <alignment horizontal="center" vertical="center" wrapText="1"/>
    </xf>
    <xf numFmtId="1" fontId="50" fillId="0" borderId="56" xfId="0" applyNumberFormat="1" applyFont="1" applyBorder="1" applyAlignment="1">
      <alignment horizontal="center" vertical="center" shrinkToFit="1"/>
    </xf>
    <xf numFmtId="0" fontId="62" fillId="10" borderId="0" xfId="0" applyFont="1" applyFill="1" applyAlignment="1">
      <alignment horizontal="center" vertical="center"/>
    </xf>
    <xf numFmtId="0" fontId="22" fillId="8" borderId="0" xfId="0" applyFont="1" applyFill="1" applyAlignment="1">
      <alignment horizontal="center" vertical="center"/>
    </xf>
    <xf numFmtId="0" fontId="16" fillId="0" borderId="13" xfId="0" applyFont="1" applyBorder="1" applyAlignment="1">
      <alignment horizontal="center" vertical="center"/>
    </xf>
    <xf numFmtId="0" fontId="0" fillId="0" borderId="15" xfId="0" applyBorder="1" applyAlignment="1">
      <alignment horizontal="center" vertical="center"/>
    </xf>
    <xf numFmtId="0" fontId="0" fillId="0" borderId="24" xfId="0" applyBorder="1" applyAlignment="1">
      <alignment horizontal="center" vertical="center"/>
    </xf>
    <xf numFmtId="0" fontId="0" fillId="0" borderId="17" xfId="0" applyBorder="1" applyAlignment="1">
      <alignment horizontal="center" vertical="center"/>
    </xf>
    <xf numFmtId="0" fontId="0" fillId="0" borderId="0" xfId="0" applyAlignment="1">
      <alignment horizontal="center" vertical="center"/>
    </xf>
    <xf numFmtId="0" fontId="0" fillId="0" borderId="20" xfId="0" applyBorder="1" applyAlignment="1">
      <alignment horizontal="center" vertical="center"/>
    </xf>
    <xf numFmtId="0" fontId="6" fillId="0" borderId="17" xfId="0" applyFont="1" applyBorder="1" applyAlignment="1">
      <alignment horizontal="center" vertical="center"/>
    </xf>
    <xf numFmtId="0" fontId="6" fillId="0" borderId="0" xfId="0" applyFont="1" applyAlignment="1">
      <alignment horizontal="center" vertical="center"/>
    </xf>
    <xf numFmtId="0" fontId="6" fillId="0" borderId="20" xfId="0" applyFont="1" applyBorder="1" applyAlignment="1">
      <alignment horizontal="center" vertical="center"/>
    </xf>
    <xf numFmtId="14" fontId="12" fillId="6" borderId="14" xfId="0" applyNumberFormat="1" applyFont="1" applyFill="1" applyBorder="1" applyAlignment="1">
      <alignment horizontal="center" vertical="center"/>
    </xf>
    <xf numFmtId="0" fontId="12" fillId="6" borderId="16" xfId="0" applyFont="1" applyFill="1" applyBorder="1" applyAlignment="1">
      <alignment horizontal="center" vertical="center"/>
    </xf>
    <xf numFmtId="0" fontId="12" fillId="6" borderId="8" xfId="0" applyFont="1" applyFill="1" applyBorder="1" applyAlignment="1" applyProtection="1">
      <alignment horizontal="left" vertical="center"/>
      <protection locked="0"/>
    </xf>
    <xf numFmtId="0" fontId="12" fillId="6" borderId="5" xfId="0" applyFont="1" applyFill="1" applyBorder="1" applyAlignment="1" applyProtection="1">
      <alignment horizontal="left" vertical="center"/>
      <protection locked="0"/>
    </xf>
    <xf numFmtId="0" fontId="12" fillId="6" borderId="18" xfId="0" applyFont="1" applyFill="1" applyBorder="1" applyAlignment="1" applyProtection="1">
      <alignment horizontal="left" vertical="center"/>
      <protection locked="0"/>
    </xf>
    <xf numFmtId="0" fontId="12" fillId="6" borderId="19" xfId="0" applyFont="1" applyFill="1" applyBorder="1" applyAlignment="1" applyProtection="1">
      <alignment horizontal="left" vertical="center"/>
      <protection locked="0"/>
    </xf>
    <xf numFmtId="0" fontId="12" fillId="0" borderId="15" xfId="0" applyFont="1" applyBorder="1" applyAlignment="1">
      <alignment horizontal="left" vertical="center"/>
    </xf>
    <xf numFmtId="0" fontId="12" fillId="0" borderId="0" xfId="0" applyFont="1" applyAlignment="1">
      <alignment horizontal="left" vertical="center"/>
    </xf>
    <xf numFmtId="0" fontId="12" fillId="0" borderId="17" xfId="0" applyFont="1" applyBorder="1" applyAlignment="1">
      <alignment horizontal="left" vertical="center"/>
    </xf>
    <xf numFmtId="0" fontId="12" fillId="6" borderId="14" xfId="0" applyFont="1" applyFill="1" applyBorder="1" applyAlignment="1" applyProtection="1">
      <alignment horizontal="left" vertical="center"/>
      <protection locked="0"/>
    </xf>
    <xf numFmtId="0" fontId="12" fillId="8" borderId="21" xfId="0" applyFont="1" applyFill="1" applyBorder="1" applyAlignment="1">
      <alignment horizontal="left" vertical="top"/>
    </xf>
    <xf numFmtId="0" fontId="12" fillId="8" borderId="22" xfId="0" applyFont="1" applyFill="1" applyBorder="1" applyAlignment="1">
      <alignment horizontal="left" vertical="top"/>
    </xf>
    <xf numFmtId="0" fontId="12" fillId="10" borderId="22" xfId="0" applyFont="1" applyFill="1" applyBorder="1" applyAlignment="1" applyProtection="1">
      <alignment horizontal="center" vertical="center"/>
      <protection locked="0"/>
    </xf>
    <xf numFmtId="0" fontId="12" fillId="10" borderId="23" xfId="0" applyFont="1" applyFill="1" applyBorder="1" applyAlignment="1" applyProtection="1">
      <alignment horizontal="center" vertical="center"/>
      <protection locked="0"/>
    </xf>
    <xf numFmtId="0" fontId="12" fillId="10" borderId="0" xfId="0" applyFont="1" applyFill="1" applyAlignment="1" applyProtection="1">
      <alignment horizontal="center" vertical="center"/>
      <protection locked="0"/>
    </xf>
    <xf numFmtId="0" fontId="12" fillId="10" borderId="20" xfId="0" applyFont="1" applyFill="1" applyBorder="1" applyAlignment="1" applyProtection="1">
      <alignment horizontal="center" vertical="center"/>
      <protection locked="0"/>
    </xf>
    <xf numFmtId="0" fontId="25" fillId="10" borderId="22" xfId="0" applyFont="1" applyFill="1" applyBorder="1" applyAlignment="1" applyProtection="1">
      <alignment horizontal="center" vertical="center"/>
      <protection locked="0"/>
    </xf>
    <xf numFmtId="0" fontId="12" fillId="8" borderId="22" xfId="0" applyFont="1" applyFill="1" applyBorder="1" applyAlignment="1">
      <alignment horizontal="right" vertical="center"/>
    </xf>
    <xf numFmtId="0" fontId="12" fillId="8" borderId="0" xfId="0" applyFont="1" applyFill="1" applyAlignment="1">
      <alignment horizontal="right" vertical="center"/>
    </xf>
    <xf numFmtId="0" fontId="12" fillId="8" borderId="17" xfId="0" applyFont="1" applyFill="1" applyBorder="1" applyAlignment="1">
      <alignment horizontal="left" vertical="top"/>
    </xf>
    <xf numFmtId="0" fontId="12" fillId="8" borderId="0" xfId="0" applyFont="1" applyFill="1" applyAlignment="1">
      <alignment horizontal="left" vertical="top"/>
    </xf>
    <xf numFmtId="0" fontId="12" fillId="8" borderId="0" xfId="0" applyFont="1" applyFill="1" applyAlignment="1">
      <alignment horizontal="center" vertical="center"/>
    </xf>
    <xf numFmtId="0" fontId="24" fillId="8" borderId="0" xfId="0" applyFont="1" applyFill="1" applyAlignment="1">
      <alignment horizontal="center" vertical="center"/>
    </xf>
    <xf numFmtId="0" fontId="12" fillId="8" borderId="8" xfId="0" applyFont="1" applyFill="1" applyBorder="1" applyAlignment="1">
      <alignment horizontal="left" vertical="center"/>
    </xf>
    <xf numFmtId="0" fontId="12" fillId="6" borderId="5"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4" fillId="0" borderId="0" xfId="0" applyFont="1" applyAlignment="1">
      <alignment horizontal="center" vertical="center"/>
    </xf>
    <xf numFmtId="0" fontId="4" fillId="0" borderId="20" xfId="0" applyFont="1" applyBorder="1" applyAlignment="1">
      <alignment horizontal="center" vertical="center"/>
    </xf>
    <xf numFmtId="0" fontId="0" fillId="0" borderId="21" xfId="0" applyBorder="1" applyAlignment="1">
      <alignment horizontal="center" vertical="top"/>
    </xf>
    <xf numFmtId="0" fontId="0" fillId="0" borderId="22" xfId="0" applyBorder="1" applyAlignment="1">
      <alignment horizontal="center" vertical="top"/>
    </xf>
    <xf numFmtId="0" fontId="17" fillId="7" borderId="17" xfId="0" applyFont="1" applyFill="1" applyBorder="1" applyAlignment="1">
      <alignment horizontal="center" vertical="center"/>
    </xf>
    <xf numFmtId="0" fontId="17" fillId="7" borderId="0" xfId="0" applyFont="1" applyFill="1" applyAlignment="1">
      <alignment horizontal="center" vertical="center"/>
    </xf>
    <xf numFmtId="0" fontId="17" fillId="7" borderId="20" xfId="0" applyFont="1" applyFill="1" applyBorder="1" applyAlignment="1">
      <alignment horizontal="center" vertical="center"/>
    </xf>
    <xf numFmtId="0" fontId="12" fillId="0" borderId="22" xfId="0" applyFont="1" applyBorder="1" applyAlignment="1" applyProtection="1">
      <alignment horizontal="left" vertical="center"/>
      <protection locked="0"/>
    </xf>
    <xf numFmtId="0" fontId="12" fillId="0" borderId="23" xfId="0" applyFont="1" applyBorder="1" applyAlignment="1" applyProtection="1">
      <alignment horizontal="left" vertical="center"/>
      <protection locked="0"/>
    </xf>
    <xf numFmtId="0" fontId="28" fillId="0" borderId="0" xfId="4" applyFont="1" applyAlignment="1" applyProtection="1">
      <alignment horizontal="center" vertical="center"/>
      <protection locked="0"/>
    </xf>
    <xf numFmtId="0" fontId="28" fillId="0" borderId="0" xfId="4" applyFont="1" applyAlignment="1">
      <alignment horizontal="center" vertical="center"/>
    </xf>
    <xf numFmtId="9" fontId="29" fillId="0" borderId="0" xfId="5" applyFont="1" applyBorder="1" applyAlignment="1" applyProtection="1">
      <alignment horizontal="center" vertical="center" wrapText="1"/>
    </xf>
    <xf numFmtId="9" fontId="29" fillId="0" borderId="0" xfId="5" applyFont="1" applyBorder="1" applyAlignment="1" applyProtection="1">
      <alignment horizontal="center" vertical="center"/>
    </xf>
    <xf numFmtId="0" fontId="30" fillId="0" borderId="0" xfId="4" applyFont="1"/>
    <xf numFmtId="49" fontId="31" fillId="7" borderId="1" xfId="4" applyNumberFormat="1" applyFont="1" applyFill="1" applyBorder="1" applyAlignment="1" applyProtection="1">
      <alignment wrapText="1"/>
      <protection locked="0"/>
    </xf>
    <xf numFmtId="164" fontId="31" fillId="7" borderId="1" xfId="4" applyNumberFormat="1" applyFont="1" applyFill="1" applyBorder="1" applyAlignment="1" applyProtection="1">
      <alignment horizontal="left" wrapText="1"/>
      <protection locked="0"/>
    </xf>
    <xf numFmtId="164" fontId="30" fillId="7" borderId="1" xfId="4" applyNumberFormat="1" applyFont="1" applyFill="1" applyBorder="1" applyAlignment="1" applyProtection="1">
      <alignment horizontal="left"/>
      <protection locked="0"/>
    </xf>
    <xf numFmtId="49" fontId="31" fillId="7" borderId="1" xfId="4" applyNumberFormat="1" applyFont="1" applyFill="1" applyBorder="1" applyAlignment="1" applyProtection="1">
      <alignment horizontal="left" wrapText="1"/>
      <protection locked="0"/>
    </xf>
    <xf numFmtId="49" fontId="30" fillId="7" borderId="1" xfId="4" applyNumberFormat="1" applyFont="1" applyFill="1" applyBorder="1" applyAlignment="1" applyProtection="1">
      <alignment horizontal="left"/>
      <protection locked="0"/>
    </xf>
    <xf numFmtId="0" fontId="3" fillId="13" borderId="12" xfId="4" applyFont="1" applyFill="1" applyBorder="1" applyAlignment="1">
      <alignment horizontal="right"/>
    </xf>
    <xf numFmtId="0" fontId="27" fillId="0" borderId="5" xfId="4" applyBorder="1" applyAlignment="1">
      <alignment horizontal="right"/>
    </xf>
    <xf numFmtId="0" fontId="31" fillId="13" borderId="12" xfId="4" applyFont="1" applyFill="1" applyBorder="1"/>
    <xf numFmtId="0" fontId="27" fillId="0" borderId="6" xfId="4" applyBorder="1"/>
    <xf numFmtId="0" fontId="31" fillId="7" borderId="12" xfId="4" applyFont="1" applyFill="1" applyBorder="1" applyAlignment="1" applyProtection="1">
      <alignment horizontal="left"/>
      <protection locked="0"/>
    </xf>
    <xf numFmtId="0" fontId="27" fillId="7" borderId="6" xfId="4" applyFill="1" applyBorder="1" applyAlignment="1" applyProtection="1">
      <alignment horizontal="left"/>
      <protection locked="0"/>
    </xf>
    <xf numFmtId="0" fontId="34" fillId="14" borderId="1" xfId="4" applyFont="1" applyFill="1" applyBorder="1" applyAlignment="1">
      <alignment horizontal="right" vertical="center"/>
    </xf>
    <xf numFmtId="0" fontId="34" fillId="14" borderId="12" xfId="4" applyFont="1" applyFill="1" applyBorder="1" applyAlignment="1">
      <alignment horizontal="right" vertical="center"/>
    </xf>
    <xf numFmtId="0" fontId="35" fillId="14" borderId="2" xfId="4" applyFont="1" applyFill="1" applyBorder="1" applyAlignment="1" applyProtection="1">
      <alignment horizontal="left" vertical="top" wrapText="1"/>
      <protection locked="0"/>
    </xf>
    <xf numFmtId="0" fontId="36" fillId="0" borderId="3" xfId="4" applyFont="1" applyBorder="1" applyAlignment="1" applyProtection="1">
      <alignment horizontal="left" vertical="top" wrapText="1"/>
      <protection locked="0"/>
    </xf>
    <xf numFmtId="0" fontId="36" fillId="0" borderId="7" xfId="4" applyFont="1" applyBorder="1" applyAlignment="1">
      <alignment horizontal="left" vertical="top" wrapText="1"/>
    </xf>
    <xf numFmtId="0" fontId="36" fillId="0" borderId="9" xfId="4" applyFont="1" applyBorder="1" applyAlignment="1">
      <alignment horizontal="left" vertical="top" wrapText="1"/>
    </xf>
    <xf numFmtId="9" fontId="32" fillId="0" borderId="0" xfId="5" applyFont="1" applyFill="1" applyBorder="1" applyAlignment="1" applyProtection="1">
      <alignment horizontal="center" vertical="center" textRotation="90" wrapText="1"/>
    </xf>
    <xf numFmtId="0" fontId="35" fillId="0" borderId="0" xfId="4" applyFont="1" applyAlignment="1">
      <alignment horizontal="center" vertical="center" textRotation="90" wrapText="1"/>
    </xf>
    <xf numFmtId="0" fontId="29" fillId="15" borderId="25" xfId="4" applyFont="1" applyFill="1" applyBorder="1" applyAlignment="1">
      <alignment horizontal="left" vertical="center" wrapText="1"/>
    </xf>
    <xf numFmtId="0" fontId="29" fillId="15" borderId="26" xfId="4" applyFont="1" applyFill="1" applyBorder="1" applyAlignment="1">
      <alignment horizontal="left" vertical="center" wrapText="1"/>
    </xf>
    <xf numFmtId="0" fontId="29" fillId="15" borderId="27" xfId="4" applyFont="1" applyFill="1" applyBorder="1" applyAlignment="1">
      <alignment horizontal="left" vertical="center" wrapText="1"/>
    </xf>
    <xf numFmtId="9" fontId="29" fillId="0" borderId="30" xfId="5" applyFont="1" applyFill="1" applyBorder="1" applyAlignment="1" applyProtection="1">
      <alignment horizontal="center" vertical="center" textRotation="90" wrapText="1"/>
    </xf>
    <xf numFmtId="0" fontId="27" fillId="0" borderId="34" xfId="4" applyBorder="1" applyAlignment="1">
      <alignment horizontal="center" vertical="center" textRotation="90" wrapText="1"/>
    </xf>
    <xf numFmtId="1" fontId="39" fillId="0" borderId="30" xfId="4" applyNumberFormat="1" applyFont="1" applyBorder="1" applyAlignment="1" applyProtection="1">
      <alignment horizontal="center" vertical="center"/>
      <protection locked="0"/>
    </xf>
    <xf numFmtId="1" fontId="42" fillId="0" borderId="34" xfId="4" applyNumberFormat="1" applyFont="1" applyBorder="1" applyAlignment="1" applyProtection="1">
      <alignment horizontal="center" vertical="center"/>
      <protection locked="0"/>
    </xf>
    <xf numFmtId="1" fontId="42" fillId="0" borderId="29" xfId="4" applyNumberFormat="1" applyFont="1" applyBorder="1" applyAlignment="1" applyProtection="1">
      <alignment horizontal="center" vertical="center"/>
      <protection locked="0"/>
    </xf>
    <xf numFmtId="0" fontId="38" fillId="7" borderId="39" xfId="4" applyFont="1" applyFill="1" applyBorder="1" applyAlignment="1">
      <alignment horizontal="center" vertical="top" wrapText="1"/>
    </xf>
    <xf numFmtId="0" fontId="38" fillId="0" borderId="39" xfId="4" applyFont="1" applyBorder="1" applyAlignment="1">
      <alignment horizontal="center" vertical="top" wrapText="1"/>
    </xf>
    <xf numFmtId="0" fontId="38" fillId="19" borderId="41" xfId="4" applyFont="1" applyFill="1" applyBorder="1" applyAlignment="1">
      <alignment horizontal="center" vertical="top" wrapText="1"/>
    </xf>
    <xf numFmtId="0" fontId="38" fillId="0" borderId="41" xfId="4" applyFont="1" applyBorder="1" applyAlignment="1">
      <alignment horizontal="center" vertical="top" wrapText="1"/>
    </xf>
    <xf numFmtId="0" fontId="38" fillId="0" borderId="44" xfId="4" applyFont="1" applyBorder="1" applyAlignment="1">
      <alignment horizontal="center" vertical="top" wrapText="1"/>
    </xf>
    <xf numFmtId="0" fontId="29" fillId="0" borderId="30" xfId="4" applyFont="1" applyBorder="1" applyAlignment="1">
      <alignment horizontal="center" vertical="center" wrapText="1"/>
    </xf>
    <xf numFmtId="0" fontId="27" fillId="0" borderId="34" xfId="4" applyBorder="1" applyAlignment="1">
      <alignment horizontal="center" vertical="center" wrapText="1"/>
    </xf>
    <xf numFmtId="0" fontId="27" fillId="0" borderId="29" xfId="4" applyBorder="1" applyAlignment="1">
      <alignment horizontal="center" vertical="center" wrapText="1"/>
    </xf>
    <xf numFmtId="1" fontId="39" fillId="0" borderId="34" xfId="4" applyNumberFormat="1" applyFont="1" applyBorder="1" applyAlignment="1" applyProtection="1">
      <alignment horizontal="center" vertical="center"/>
      <protection locked="0"/>
    </xf>
    <xf numFmtId="1" fontId="39" fillId="0" borderId="29" xfId="4" applyNumberFormat="1" applyFont="1" applyBorder="1" applyAlignment="1" applyProtection="1">
      <alignment horizontal="center" vertical="center"/>
      <protection locked="0"/>
    </xf>
    <xf numFmtId="0" fontId="38" fillId="16" borderId="35" xfId="4" applyFont="1" applyFill="1" applyBorder="1" applyAlignment="1">
      <alignment horizontal="center" vertical="top" wrapText="1"/>
    </xf>
    <xf numFmtId="0" fontId="27" fillId="0" borderId="42" xfId="4" applyBorder="1" applyAlignment="1">
      <alignment horizontal="center" vertical="top" wrapText="1"/>
    </xf>
    <xf numFmtId="0" fontId="38" fillId="7" borderId="36" xfId="4" applyFont="1" applyFill="1" applyBorder="1" applyAlignment="1">
      <alignment horizontal="center" vertical="top" wrapText="1"/>
    </xf>
    <xf numFmtId="0" fontId="27" fillId="0" borderId="43" xfId="4" applyBorder="1" applyAlignment="1">
      <alignment horizontal="center" vertical="top" wrapText="1"/>
    </xf>
    <xf numFmtId="0" fontId="38" fillId="20" borderId="36" xfId="4" applyFont="1" applyFill="1" applyBorder="1" applyAlignment="1">
      <alignment horizontal="center" vertical="top" wrapText="1"/>
    </xf>
    <xf numFmtId="0" fontId="38" fillId="18" borderId="36" xfId="4" applyFont="1" applyFill="1" applyBorder="1" applyAlignment="1">
      <alignment horizontal="center" vertical="top" wrapText="1"/>
    </xf>
    <xf numFmtId="0" fontId="38" fillId="19" borderId="37" xfId="4" applyFont="1" applyFill="1" applyBorder="1" applyAlignment="1">
      <alignment horizontal="center" vertical="top" wrapText="1"/>
    </xf>
    <xf numFmtId="0" fontId="27" fillId="0" borderId="44" xfId="4" applyBorder="1" applyAlignment="1">
      <alignment horizontal="center" vertical="top" wrapText="1"/>
    </xf>
    <xf numFmtId="49" fontId="45" fillId="0" borderId="45" xfId="5" applyNumberFormat="1" applyFont="1" applyFill="1" applyBorder="1" applyAlignment="1" applyProtection="1">
      <alignment horizontal="left" vertical="top" wrapText="1"/>
    </xf>
    <xf numFmtId="9" fontId="32" fillId="0" borderId="34" xfId="5" applyFont="1" applyFill="1" applyBorder="1" applyAlignment="1" applyProtection="1">
      <alignment horizontal="center" vertical="center" textRotation="90" wrapText="1"/>
    </xf>
    <xf numFmtId="0" fontId="35" fillId="0" borderId="34" xfId="4" applyFont="1" applyBorder="1" applyAlignment="1">
      <alignment horizontal="center" vertical="center" textRotation="90" wrapText="1"/>
    </xf>
    <xf numFmtId="0" fontId="35" fillId="0" borderId="29" xfId="4" applyFont="1" applyBorder="1" applyAlignment="1">
      <alignment horizontal="center" vertical="center" textRotation="90" wrapText="1"/>
    </xf>
    <xf numFmtId="0" fontId="34" fillId="0" borderId="0" xfId="4" applyFont="1" applyAlignment="1">
      <alignment horizontal="right" vertical="center" wrapText="1"/>
    </xf>
    <xf numFmtId="0" fontId="27" fillId="0" borderId="0" xfId="4" applyAlignment="1">
      <alignment horizontal="right"/>
    </xf>
    <xf numFmtId="0" fontId="33" fillId="0" borderId="0" xfId="4" applyFont="1" applyAlignment="1">
      <alignment horizontal="right" vertical="center" wrapText="1"/>
    </xf>
    <xf numFmtId="9" fontId="32" fillId="0" borderId="30" xfId="5" applyFont="1" applyFill="1" applyBorder="1" applyAlignment="1" applyProtection="1">
      <alignment horizontal="center" vertical="center" textRotation="90" wrapText="1"/>
    </xf>
    <xf numFmtId="0" fontId="45" fillId="0" borderId="52" xfId="4" applyFont="1" applyBorder="1" applyAlignment="1">
      <alignment horizontal="left" vertical="top" wrapText="1"/>
    </xf>
    <xf numFmtId="0" fontId="27" fillId="0" borderId="52" xfId="4" applyBorder="1"/>
    <xf numFmtId="0" fontId="34" fillId="0" borderId="28" xfId="4" applyFont="1" applyBorder="1" applyAlignment="1">
      <alignment horizontal="center" vertical="center" wrapText="1"/>
    </xf>
    <xf numFmtId="0" fontId="47" fillId="0" borderId="53" xfId="4" applyFont="1" applyBorder="1" applyAlignment="1">
      <alignment horizontal="right" vertical="center" wrapText="1"/>
    </xf>
    <xf numFmtId="0" fontId="45" fillId="0" borderId="53" xfId="4" applyFont="1" applyBorder="1" applyAlignment="1">
      <alignment horizontal="right" vertical="center" wrapText="1"/>
    </xf>
    <xf numFmtId="1" fontId="28" fillId="21" borderId="30" xfId="4" applyNumberFormat="1" applyFont="1" applyFill="1" applyBorder="1" applyAlignment="1">
      <alignment horizontal="center" vertical="center"/>
    </xf>
    <xf numFmtId="0" fontId="28" fillId="0" borderId="29" xfId="4" applyFont="1" applyBorder="1" applyAlignment="1">
      <alignment horizontal="center" vertical="center"/>
    </xf>
    <xf numFmtId="0" fontId="30" fillId="0" borderId="28" xfId="4" applyFont="1" applyBorder="1" applyAlignment="1">
      <alignment horizontal="left" vertical="center" wrapText="1"/>
    </xf>
    <xf numFmtId="0" fontId="29" fillId="0" borderId="0" xfId="4" applyFont="1" applyAlignment="1">
      <alignment horizontal="left"/>
    </xf>
    <xf numFmtId="49" fontId="31" fillId="22" borderId="0" xfId="4" applyNumberFormat="1" applyFont="1" applyFill="1" applyAlignment="1" applyProtection="1">
      <alignment horizontal="left" vertical="top" wrapText="1"/>
      <protection locked="0"/>
    </xf>
    <xf numFmtId="0" fontId="27" fillId="0" borderId="0" xfId="4" applyAlignment="1" applyProtection="1">
      <alignment horizontal="left" vertical="top" wrapText="1"/>
      <protection locked="0"/>
    </xf>
    <xf numFmtId="0" fontId="3" fillId="0" borderId="53" xfId="4" applyFont="1" applyBorder="1" applyAlignment="1">
      <alignment horizontal="left" vertical="top" wrapText="1"/>
    </xf>
    <xf numFmtId="0" fontId="3" fillId="0" borderId="0" xfId="4" applyFont="1" applyAlignment="1">
      <alignment horizontal="left" vertical="top" wrapText="1"/>
    </xf>
    <xf numFmtId="0" fontId="49" fillId="0" borderId="77" xfId="0" applyFont="1" applyBorder="1" applyAlignment="1">
      <alignment horizontal="left" vertical="top" wrapText="1"/>
    </xf>
    <xf numFmtId="0" fontId="49" fillId="0" borderId="78" xfId="0" applyFont="1" applyBorder="1" applyAlignment="1">
      <alignment horizontal="left" vertical="top" wrapText="1"/>
    </xf>
    <xf numFmtId="0" fontId="49" fillId="0" borderId="82" xfId="0" applyFont="1" applyBorder="1" applyAlignment="1">
      <alignment horizontal="left" vertical="top" wrapText="1"/>
    </xf>
    <xf numFmtId="0" fontId="49" fillId="0" borderId="83" xfId="0" applyFont="1" applyBorder="1" applyAlignment="1">
      <alignment horizontal="left" vertical="top" wrapText="1"/>
    </xf>
    <xf numFmtId="0" fontId="49" fillId="0" borderId="0" xfId="0" applyFont="1" applyAlignment="1">
      <alignment horizontal="left" vertical="top" wrapText="1"/>
    </xf>
    <xf numFmtId="0" fontId="49" fillId="0" borderId="84" xfId="0" applyFont="1" applyBorder="1" applyAlignment="1">
      <alignment horizontal="left" vertical="top" wrapText="1"/>
    </xf>
    <xf numFmtId="0" fontId="49" fillId="0" borderId="85" xfId="0" applyFont="1" applyBorder="1" applyAlignment="1">
      <alignment horizontal="left" vertical="top" wrapText="1"/>
    </xf>
    <xf numFmtId="0" fontId="49" fillId="0" borderId="86" xfId="0" applyFont="1" applyBorder="1" applyAlignment="1">
      <alignment horizontal="left" vertical="top" wrapText="1"/>
    </xf>
    <xf numFmtId="0" fontId="49" fillId="0" borderId="87" xfId="0" applyFont="1" applyBorder="1" applyAlignment="1">
      <alignment horizontal="left" vertical="top" wrapText="1"/>
    </xf>
    <xf numFmtId="14" fontId="12" fillId="29" borderId="72" xfId="0" applyNumberFormat="1" applyFont="1" applyFill="1" applyBorder="1" applyAlignment="1">
      <alignment horizontal="left" vertical="center" wrapText="1"/>
    </xf>
    <xf numFmtId="0" fontId="12" fillId="23" borderId="72" xfId="0" applyFont="1" applyFill="1" applyBorder="1" applyAlignment="1">
      <alignment horizontal="left" vertical="center" wrapText="1"/>
    </xf>
    <xf numFmtId="0" fontId="24" fillId="24" borderId="69" xfId="0" applyFont="1" applyFill="1" applyBorder="1" applyAlignment="1">
      <alignment horizontal="center" vertical="center" wrapText="1"/>
    </xf>
    <xf numFmtId="0" fontId="10" fillId="29" borderId="72" xfId="0" applyFont="1" applyFill="1" applyBorder="1" applyAlignment="1">
      <alignment horizontal="left" vertical="center" wrapText="1"/>
    </xf>
    <xf numFmtId="0" fontId="54" fillId="0" borderId="55" xfId="0" applyFont="1" applyBorder="1" applyAlignment="1">
      <alignment horizontal="center" vertical="center" wrapText="1"/>
    </xf>
    <xf numFmtId="0" fontId="17" fillId="0" borderId="55" xfId="0" applyFont="1" applyBorder="1" applyAlignment="1">
      <alignment horizontal="center" vertical="center" wrapText="1"/>
    </xf>
    <xf numFmtId="0" fontId="64" fillId="0" borderId="59" xfId="0" applyFont="1" applyBorder="1" applyAlignment="1" applyProtection="1">
      <alignment horizontal="center" vertical="center" wrapText="1"/>
      <protection locked="0"/>
    </xf>
    <xf numFmtId="0" fontId="58" fillId="0" borderId="56" xfId="0" applyFont="1" applyBorder="1" applyAlignment="1">
      <alignment horizontal="center" vertical="center" textRotation="90" wrapText="1"/>
    </xf>
    <xf numFmtId="0" fontId="58" fillId="0" borderId="60" xfId="0" applyFont="1" applyBorder="1" applyAlignment="1">
      <alignment horizontal="center" vertical="center" textRotation="90" wrapText="1"/>
    </xf>
    <xf numFmtId="0" fontId="58" fillId="0" borderId="58" xfId="0" applyFont="1" applyBorder="1" applyAlignment="1">
      <alignment horizontal="center" vertical="center" textRotation="90" wrapText="1"/>
    </xf>
    <xf numFmtId="0" fontId="51" fillId="0" borderId="79" xfId="0" applyFont="1" applyBorder="1" applyAlignment="1">
      <alignment horizontal="left" vertical="top" wrapText="1"/>
    </xf>
    <xf numFmtId="0" fontId="51" fillId="0" borderId="80" xfId="0" applyFont="1" applyBorder="1" applyAlignment="1">
      <alignment horizontal="left" vertical="top" wrapText="1"/>
    </xf>
    <xf numFmtId="0" fontId="51" fillId="0" borderId="81" xfId="0" applyFont="1" applyBorder="1" applyAlignment="1">
      <alignment horizontal="left" vertical="top" wrapText="1"/>
    </xf>
    <xf numFmtId="0" fontId="51" fillId="0" borderId="55" xfId="0" applyFont="1" applyBorder="1" applyAlignment="1">
      <alignment horizontal="left" vertical="center" wrapText="1"/>
    </xf>
    <xf numFmtId="0" fontId="51" fillId="0" borderId="59" xfId="0" applyFont="1" applyBorder="1" applyAlignment="1">
      <alignment horizontal="left" vertical="center" wrapText="1"/>
    </xf>
    <xf numFmtId="0" fontId="63" fillId="0" borderId="55" xfId="0" applyFont="1" applyBorder="1" applyAlignment="1">
      <alignment horizontal="center" vertical="center" textRotation="90" wrapText="1"/>
    </xf>
    <xf numFmtId="0" fontId="17" fillId="0" borderId="55" xfId="0" applyFont="1" applyBorder="1" applyAlignment="1">
      <alignment horizontal="center" vertical="center" textRotation="90" wrapText="1"/>
    </xf>
    <xf numFmtId="0" fontId="17" fillId="0" borderId="56" xfId="0" applyFont="1" applyBorder="1" applyAlignment="1">
      <alignment horizontal="center" vertical="center" textRotation="90" wrapText="1"/>
    </xf>
    <xf numFmtId="0" fontId="64" fillId="0" borderId="69" xfId="0" applyFont="1" applyBorder="1" applyAlignment="1" applyProtection="1">
      <alignment horizontal="center" vertical="center"/>
      <protection locked="0"/>
    </xf>
    <xf numFmtId="0" fontId="64" fillId="0" borderId="70" xfId="0" applyFont="1" applyBorder="1" applyAlignment="1" applyProtection="1">
      <alignment horizontal="center" vertical="center"/>
      <protection locked="0"/>
    </xf>
    <xf numFmtId="0" fontId="64" fillId="0" borderId="71" xfId="0" applyFont="1" applyBorder="1" applyAlignment="1" applyProtection="1">
      <alignment horizontal="center" vertical="center"/>
      <protection locked="0"/>
    </xf>
    <xf numFmtId="0" fontId="48" fillId="0" borderId="0" xfId="0" applyFont="1" applyAlignment="1">
      <alignment horizontal="center" vertical="center" wrapText="1"/>
    </xf>
    <xf numFmtId="0" fontId="12" fillId="23" borderId="55" xfId="0" applyFont="1" applyFill="1" applyBorder="1" applyAlignment="1">
      <alignment horizontal="left" vertical="center" wrapText="1"/>
    </xf>
    <xf numFmtId="0" fontId="54" fillId="0" borderId="55" xfId="0" applyFont="1" applyBorder="1" applyAlignment="1">
      <alignment horizontal="center" vertical="center" textRotation="90" wrapText="1"/>
    </xf>
    <xf numFmtId="0" fontId="17" fillId="0" borderId="59" xfId="0" applyFont="1" applyBorder="1" applyAlignment="1">
      <alignment horizontal="center" vertical="center" textRotation="90" wrapText="1"/>
    </xf>
    <xf numFmtId="0" fontId="64" fillId="0" borderId="65" xfId="0" applyFont="1" applyBorder="1" applyAlignment="1" applyProtection="1">
      <alignment horizontal="center" vertical="center" wrapText="1"/>
      <protection locked="0"/>
    </xf>
    <xf numFmtId="0" fontId="51" fillId="23" borderId="58" xfId="0" applyFont="1" applyFill="1" applyBorder="1" applyAlignment="1">
      <alignment horizontal="center" vertical="center" wrapText="1"/>
    </xf>
    <xf numFmtId="0" fontId="17" fillId="23" borderId="61" xfId="0" applyFont="1" applyFill="1" applyBorder="1" applyAlignment="1">
      <alignment horizontal="center" vertical="center" wrapText="1"/>
    </xf>
    <xf numFmtId="0" fontId="50" fillId="27" borderId="58" xfId="0" applyFont="1" applyFill="1" applyBorder="1" applyAlignment="1">
      <alignment horizontal="center" vertical="center" wrapText="1"/>
    </xf>
    <xf numFmtId="0" fontId="17" fillId="27" borderId="57" xfId="0" applyFont="1" applyFill="1" applyBorder="1" applyAlignment="1">
      <alignment horizontal="center" vertical="center" wrapText="1"/>
    </xf>
    <xf numFmtId="0" fontId="17" fillId="27" borderId="55" xfId="0" applyFont="1" applyFill="1" applyBorder="1" applyAlignment="1">
      <alignment horizontal="center" vertical="center" wrapText="1"/>
    </xf>
    <xf numFmtId="0" fontId="10" fillId="29" borderId="65" xfId="0" applyFont="1" applyFill="1" applyBorder="1" applyAlignment="1">
      <alignment horizontal="left" vertical="center" wrapText="1"/>
    </xf>
    <xf numFmtId="0" fontId="10" fillId="29" borderId="57" xfId="0" applyFont="1" applyFill="1" applyBorder="1" applyAlignment="1">
      <alignment horizontal="left" vertical="center" wrapText="1"/>
    </xf>
    <xf numFmtId="0" fontId="52" fillId="24" borderId="73" xfId="0" applyFont="1" applyFill="1" applyBorder="1" applyAlignment="1">
      <alignment horizontal="center" vertical="center" wrapText="1"/>
    </xf>
    <xf numFmtId="0" fontId="52" fillId="24" borderId="61" xfId="0" applyFont="1" applyFill="1" applyBorder="1" applyAlignment="1">
      <alignment horizontal="center" vertical="center" wrapText="1"/>
    </xf>
    <xf numFmtId="0" fontId="52" fillId="24" borderId="61" xfId="0" applyFont="1" applyFill="1" applyBorder="1" applyAlignment="1">
      <alignment horizontal="right" vertical="center" wrapText="1"/>
    </xf>
    <xf numFmtId="0" fontId="64" fillId="32" borderId="72" xfId="0" applyFont="1" applyFill="1" applyBorder="1" applyAlignment="1">
      <alignment horizontal="center" vertical="center"/>
    </xf>
    <xf numFmtId="0" fontId="64" fillId="31" borderId="72" xfId="0" applyFont="1" applyFill="1" applyBorder="1" applyAlignment="1">
      <alignment horizontal="center" vertical="center"/>
    </xf>
    <xf numFmtId="0" fontId="51" fillId="0" borderId="56" xfId="0" applyFont="1" applyBorder="1" applyAlignment="1">
      <alignment horizontal="left" vertical="center" wrapText="1"/>
    </xf>
    <xf numFmtId="0" fontId="51" fillId="0" borderId="73" xfId="0" applyFont="1" applyBorder="1" applyAlignment="1">
      <alignment horizontal="left" vertical="center" wrapText="1"/>
    </xf>
    <xf numFmtId="0" fontId="49" fillId="0" borderId="58" xfId="0" applyFont="1" applyBorder="1" applyAlignment="1">
      <alignment horizontal="center" vertical="center" wrapText="1"/>
    </xf>
    <xf numFmtId="0" fontId="49" fillId="0" borderId="62" xfId="0" applyFont="1" applyBorder="1" applyAlignment="1">
      <alignment horizontal="center" vertical="center" wrapText="1"/>
    </xf>
    <xf numFmtId="0" fontId="49" fillId="0" borderId="73" xfId="0" applyFont="1" applyBorder="1" applyAlignment="1">
      <alignment horizontal="center" vertical="center" wrapText="1"/>
    </xf>
    <xf numFmtId="0" fontId="65" fillId="28" borderId="83" xfId="0" applyFont="1" applyFill="1" applyBorder="1" applyAlignment="1">
      <alignment horizontal="center" vertical="center" wrapText="1"/>
    </xf>
    <xf numFmtId="0" fontId="65" fillId="28" borderId="84" xfId="0" applyFont="1" applyFill="1" applyBorder="1" applyAlignment="1">
      <alignment horizontal="center" vertical="center" wrapText="1"/>
    </xf>
    <xf numFmtId="0" fontId="65" fillId="28" borderId="85" xfId="0" applyFont="1" applyFill="1" applyBorder="1" applyAlignment="1">
      <alignment horizontal="center" vertical="center" wrapText="1"/>
    </xf>
    <xf numFmtId="0" fontId="65" fillId="28" borderId="87" xfId="0" applyFont="1" applyFill="1" applyBorder="1" applyAlignment="1">
      <alignment horizontal="center" vertical="center" wrapText="1"/>
    </xf>
    <xf numFmtId="0" fontId="50" fillId="0" borderId="77" xfId="0" applyFont="1" applyBorder="1" applyAlignment="1">
      <alignment horizontal="center" vertical="top" wrapText="1"/>
    </xf>
    <xf numFmtId="0" fontId="50" fillId="0" borderId="78" xfId="0" applyFont="1" applyBorder="1" applyAlignment="1">
      <alignment horizontal="center" vertical="top" wrapText="1"/>
    </xf>
    <xf numFmtId="0" fontId="50" fillId="0" borderId="82" xfId="0" applyFont="1" applyBorder="1" applyAlignment="1">
      <alignment horizontal="center" vertical="top" wrapText="1"/>
    </xf>
    <xf numFmtId="0" fontId="50" fillId="0" borderId="83" xfId="0" applyFont="1" applyBorder="1" applyAlignment="1">
      <alignment horizontal="center" vertical="top" wrapText="1"/>
    </xf>
    <xf numFmtId="0" fontId="50" fillId="0" borderId="0" xfId="0" applyFont="1" applyAlignment="1">
      <alignment horizontal="center" vertical="top" wrapText="1"/>
    </xf>
    <xf numFmtId="0" fontId="50" fillId="0" borderId="84" xfId="0" applyFont="1" applyBorder="1" applyAlignment="1">
      <alignment horizontal="center" vertical="top" wrapText="1"/>
    </xf>
    <xf numFmtId="0" fontId="17" fillId="0" borderId="12" xfId="0" applyFont="1" applyBorder="1" applyAlignment="1">
      <alignment horizontal="left" vertical="center"/>
    </xf>
    <xf numFmtId="0" fontId="17" fillId="0" borderId="5" xfId="0" applyFont="1" applyBorder="1" applyAlignment="1">
      <alignment horizontal="left" vertical="center"/>
    </xf>
    <xf numFmtId="0" fontId="17" fillId="0" borderId="6" xfId="0" applyFont="1" applyBorder="1" applyAlignment="1">
      <alignment horizontal="left" vertical="center"/>
    </xf>
    <xf numFmtId="0" fontId="12" fillId="0" borderId="2" xfId="0" applyFont="1" applyBorder="1" applyAlignment="1">
      <alignment horizontal="left" vertical="center" wrapText="1"/>
    </xf>
    <xf numFmtId="0" fontId="12" fillId="0" borderId="67" xfId="0" applyFont="1" applyBorder="1" applyAlignment="1">
      <alignment horizontal="left" vertical="center" wrapText="1"/>
    </xf>
    <xf numFmtId="0" fontId="12" fillId="0" borderId="3" xfId="0" applyFont="1" applyBorder="1" applyAlignment="1">
      <alignment horizontal="left" vertical="center" wrapText="1"/>
    </xf>
    <xf numFmtId="0" fontId="12" fillId="0" borderId="7" xfId="0" applyFont="1" applyBorder="1" applyAlignment="1">
      <alignment horizontal="left" vertical="center" wrapText="1"/>
    </xf>
    <xf numFmtId="0" fontId="12" fillId="0" borderId="8" xfId="0" applyFont="1" applyBorder="1" applyAlignment="1">
      <alignment horizontal="left" vertical="center" wrapText="1"/>
    </xf>
    <xf numFmtId="0" fontId="12" fillId="0" borderId="9" xfId="0" applyFont="1" applyBorder="1" applyAlignment="1">
      <alignment horizontal="left" vertical="center" wrapText="1"/>
    </xf>
    <xf numFmtId="0" fontId="17" fillId="0" borderId="2" xfId="0" applyFont="1" applyBorder="1" applyAlignment="1">
      <alignment horizontal="left" vertical="center"/>
    </xf>
    <xf numFmtId="0" fontId="17" fillId="0" borderId="67" xfId="0" applyFont="1" applyBorder="1" applyAlignment="1">
      <alignment horizontal="left" vertical="center"/>
    </xf>
    <xf numFmtId="0" fontId="17" fillId="0" borderId="3" xfId="0" applyFont="1" applyBorder="1" applyAlignment="1">
      <alignment horizontal="left" vertical="center"/>
    </xf>
    <xf numFmtId="0" fontId="17" fillId="0" borderId="7" xfId="0" applyFont="1" applyBorder="1" applyAlignment="1">
      <alignment horizontal="left" vertical="center"/>
    </xf>
    <xf numFmtId="0" fontId="17" fillId="0" borderId="8" xfId="0" applyFont="1" applyBorder="1" applyAlignment="1">
      <alignment horizontal="left" vertical="center"/>
    </xf>
    <xf numFmtId="0" fontId="17" fillId="0" borderId="9" xfId="0" applyFont="1" applyBorder="1" applyAlignment="1">
      <alignment horizontal="left" vertical="center"/>
    </xf>
    <xf numFmtId="0" fontId="12" fillId="0" borderId="12" xfId="0" applyFont="1" applyBorder="1" applyAlignment="1">
      <alignment horizontal="left" vertical="center"/>
    </xf>
    <xf numFmtId="0" fontId="12" fillId="0" borderId="5" xfId="0" applyFont="1" applyBorder="1" applyAlignment="1">
      <alignment horizontal="left" vertical="center"/>
    </xf>
    <xf numFmtId="0" fontId="12" fillId="0" borderId="6" xfId="0" applyFont="1" applyBorder="1" applyAlignment="1">
      <alignment horizontal="left" vertical="center"/>
    </xf>
    <xf numFmtId="0" fontId="12" fillId="0" borderId="2" xfId="0" applyFont="1" applyBorder="1" applyAlignment="1">
      <alignment horizontal="left" vertical="top" wrapText="1"/>
    </xf>
    <xf numFmtId="0" fontId="12" fillId="0" borderId="67" xfId="0" applyFont="1" applyBorder="1" applyAlignment="1">
      <alignment horizontal="left" vertical="top" wrapText="1"/>
    </xf>
    <xf numFmtId="0" fontId="12" fillId="0" borderId="3" xfId="0" applyFont="1" applyBorder="1" applyAlignment="1">
      <alignment horizontal="left" vertical="top" wrapText="1"/>
    </xf>
    <xf numFmtId="0" fontId="12" fillId="0" borderId="4" xfId="0" applyFont="1" applyBorder="1" applyAlignment="1">
      <alignment horizontal="left" vertical="top" wrapText="1"/>
    </xf>
    <xf numFmtId="0" fontId="12" fillId="0" borderId="0" xfId="0" applyFont="1" applyAlignment="1">
      <alignment horizontal="left" vertical="top" wrapText="1"/>
    </xf>
    <xf numFmtId="0" fontId="12" fillId="0" borderId="66" xfId="0" applyFont="1" applyBorder="1" applyAlignment="1">
      <alignment horizontal="left" vertical="top" wrapText="1"/>
    </xf>
    <xf numFmtId="0" fontId="12" fillId="0" borderId="7" xfId="0" applyFont="1" applyBorder="1" applyAlignment="1">
      <alignment horizontal="left" vertical="top" wrapText="1"/>
    </xf>
    <xf numFmtId="0" fontId="12" fillId="0" borderId="8" xfId="0" applyFont="1" applyBorder="1" applyAlignment="1">
      <alignment horizontal="left" vertical="top" wrapText="1"/>
    </xf>
    <xf numFmtId="0" fontId="12" fillId="0" borderId="9" xfId="0" applyFont="1" applyBorder="1" applyAlignment="1">
      <alignment horizontal="left" vertical="top" wrapText="1"/>
    </xf>
    <xf numFmtId="0" fontId="7" fillId="0" borderId="12" xfId="1" applyBorder="1" applyAlignment="1">
      <alignment horizontal="left" vertical="center"/>
    </xf>
    <xf numFmtId="0" fontId="7" fillId="0" borderId="5" xfId="1" applyBorder="1" applyAlignment="1">
      <alignment horizontal="left" vertical="center"/>
    </xf>
    <xf numFmtId="0" fontId="7" fillId="0" borderId="6" xfId="1" applyBorder="1" applyAlignment="1">
      <alignment horizontal="left" vertical="center"/>
    </xf>
    <xf numFmtId="0" fontId="7" fillId="0" borderId="2" xfId="1" applyBorder="1" applyAlignment="1">
      <alignment horizontal="left" vertical="center" wrapText="1"/>
    </xf>
    <xf numFmtId="0" fontId="7" fillId="0" borderId="67" xfId="1" applyBorder="1" applyAlignment="1">
      <alignment horizontal="left" vertical="center" wrapText="1"/>
    </xf>
    <xf numFmtId="0" fontId="7" fillId="0" borderId="3" xfId="1" applyBorder="1" applyAlignment="1">
      <alignment horizontal="left" vertical="center" wrapText="1"/>
    </xf>
    <xf numFmtId="0" fontId="7" fillId="0" borderId="7" xfId="1" applyBorder="1" applyAlignment="1">
      <alignment horizontal="left" vertical="center" wrapText="1"/>
    </xf>
    <xf numFmtId="0" fontId="7" fillId="0" borderId="8" xfId="1" applyBorder="1" applyAlignment="1">
      <alignment horizontal="left" vertical="center" wrapText="1"/>
    </xf>
    <xf numFmtId="0" fontId="7" fillId="0" borderId="9" xfId="1" applyBorder="1" applyAlignment="1">
      <alignment horizontal="left" vertical="center" wrapText="1"/>
    </xf>
    <xf numFmtId="0" fontId="12" fillId="0" borderId="2" xfId="0" applyFont="1" applyBorder="1" applyAlignment="1">
      <alignment horizontal="left" vertical="center"/>
    </xf>
    <xf numFmtId="0" fontId="12" fillId="0" borderId="67" xfId="0" applyFont="1" applyBorder="1" applyAlignment="1">
      <alignment horizontal="left" vertical="center"/>
    </xf>
    <xf numFmtId="0" fontId="12" fillId="0" borderId="3" xfId="0" applyFont="1" applyBorder="1" applyAlignment="1">
      <alignment horizontal="left"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0" fontId="12" fillId="0" borderId="9" xfId="0" applyFont="1" applyBorder="1" applyAlignment="1">
      <alignment horizontal="left" vertical="center"/>
    </xf>
    <xf numFmtId="0" fontId="62" fillId="10" borderId="0" xfId="0" applyFont="1" applyFill="1" applyAlignment="1">
      <alignment horizontal="center" vertical="top"/>
    </xf>
    <xf numFmtId="0" fontId="62" fillId="10" borderId="8" xfId="0" applyFont="1" applyFill="1" applyBorder="1" applyAlignment="1">
      <alignment horizontal="center" vertical="top"/>
    </xf>
    <xf numFmtId="0" fontId="12" fillId="0" borderId="4" xfId="0" applyFont="1" applyBorder="1" applyAlignment="1">
      <alignment horizontal="left" vertical="center"/>
    </xf>
    <xf numFmtId="0" fontId="12" fillId="0" borderId="66" xfId="0" applyFont="1" applyBorder="1" applyAlignment="1">
      <alignment horizontal="left" vertical="center"/>
    </xf>
    <xf numFmtId="0" fontId="12" fillId="0" borderId="1" xfId="0" applyFont="1" applyBorder="1" applyAlignment="1">
      <alignment horizontal="left" vertical="top"/>
    </xf>
    <xf numFmtId="0" fontId="12" fillId="0" borderId="12" xfId="0" applyFont="1" applyBorder="1" applyAlignment="1">
      <alignment horizontal="left" vertical="top"/>
    </xf>
    <xf numFmtId="0" fontId="12" fillId="0" borderId="5" xfId="0" applyFont="1" applyBorder="1" applyAlignment="1">
      <alignment horizontal="left" vertical="top"/>
    </xf>
    <xf numFmtId="0" fontId="12" fillId="0" borderId="6" xfId="0" applyFont="1" applyBorder="1" applyAlignment="1">
      <alignment horizontal="left" vertical="top"/>
    </xf>
    <xf numFmtId="0" fontId="62" fillId="10" borderId="12" xfId="0" applyFont="1" applyFill="1" applyBorder="1" applyAlignment="1">
      <alignment horizontal="center" vertical="top"/>
    </xf>
    <xf numFmtId="0" fontId="62" fillId="10" borderId="5" xfId="0" applyFont="1" applyFill="1" applyBorder="1" applyAlignment="1">
      <alignment horizontal="center" vertical="top"/>
    </xf>
    <xf numFmtId="0" fontId="62" fillId="10" borderId="6" xfId="0" applyFont="1" applyFill="1" applyBorder="1" applyAlignment="1">
      <alignment horizontal="center" vertical="top"/>
    </xf>
    <xf numFmtId="0" fontId="12" fillId="0" borderId="4" xfId="0" applyFont="1" applyBorder="1" applyAlignment="1">
      <alignment horizontal="center" vertical="top"/>
    </xf>
    <xf numFmtId="0" fontId="12" fillId="0" borderId="0" xfId="0" applyFont="1" applyAlignment="1">
      <alignment horizontal="center" vertical="top"/>
    </xf>
    <xf numFmtId="0" fontId="12" fillId="0" borderId="66" xfId="0" applyFont="1" applyBorder="1" applyAlignment="1">
      <alignment horizontal="center" vertical="top"/>
    </xf>
    <xf numFmtId="0" fontId="12" fillId="0" borderId="7" xfId="0" applyFont="1" applyBorder="1" applyAlignment="1">
      <alignment horizontal="center" vertical="top"/>
    </xf>
    <xf numFmtId="0" fontId="12" fillId="0" borderId="8" xfId="0" applyFont="1" applyBorder="1" applyAlignment="1">
      <alignment horizontal="center" vertical="top"/>
    </xf>
    <xf numFmtId="0" fontId="12" fillId="0" borderId="9" xfId="0" applyFont="1" applyBorder="1" applyAlignment="1">
      <alignment horizontal="center" vertical="top"/>
    </xf>
    <xf numFmtId="0" fontId="62" fillId="0" borderId="4" xfId="0" applyFont="1" applyBorder="1" applyAlignment="1">
      <alignment horizontal="center" vertical="top"/>
    </xf>
    <xf numFmtId="0" fontId="62" fillId="0" borderId="0" xfId="0" applyFont="1" applyAlignment="1">
      <alignment horizontal="center" vertical="top"/>
    </xf>
    <xf numFmtId="0" fontId="62" fillId="0" borderId="66" xfId="0" applyFont="1" applyBorder="1" applyAlignment="1">
      <alignment horizontal="center" vertical="top"/>
    </xf>
    <xf numFmtId="0" fontId="62" fillId="10" borderId="7" xfId="0" applyFont="1" applyFill="1" applyBorder="1" applyAlignment="1">
      <alignment horizontal="center" vertical="top"/>
    </xf>
    <xf numFmtId="0" fontId="62" fillId="10" borderId="9" xfId="0" applyFont="1" applyFill="1" applyBorder="1" applyAlignment="1">
      <alignment horizontal="center" vertical="top"/>
    </xf>
    <xf numFmtId="0" fontId="0" fillId="30" borderId="0" xfId="0" applyFill="1" applyAlignment="1">
      <alignment horizontal="center" vertical="top"/>
    </xf>
    <xf numFmtId="0" fontId="62" fillId="0" borderId="1" xfId="0" applyFont="1" applyBorder="1" applyAlignment="1">
      <alignment horizontal="left" vertical="top"/>
    </xf>
    <xf numFmtId="0" fontId="60" fillId="0" borderId="13" xfId="0" applyFont="1" applyBorder="1" applyAlignment="1">
      <alignment horizontal="center" vertical="center"/>
    </xf>
    <xf numFmtId="0" fontId="60" fillId="0" borderId="15" xfId="0" applyFont="1" applyBorder="1" applyAlignment="1">
      <alignment horizontal="center" vertical="center"/>
    </xf>
    <xf numFmtId="0" fontId="60" fillId="0" borderId="24" xfId="0" applyFont="1" applyBorder="1" applyAlignment="1">
      <alignment horizontal="center" vertical="center"/>
    </xf>
    <xf numFmtId="0" fontId="60" fillId="0" borderId="17" xfId="0" applyFont="1" applyBorder="1" applyAlignment="1">
      <alignment horizontal="center" vertical="center"/>
    </xf>
    <xf numFmtId="0" fontId="60" fillId="0" borderId="0" xfId="0" applyFont="1" applyAlignment="1">
      <alignment horizontal="center" vertical="center"/>
    </xf>
    <xf numFmtId="0" fontId="60" fillId="0" borderId="20" xfId="0" applyFont="1" applyBorder="1" applyAlignment="1">
      <alignment horizontal="center" vertical="center"/>
    </xf>
    <xf numFmtId="14" fontId="12" fillId="0" borderId="1" xfId="0" applyNumberFormat="1" applyFont="1" applyBorder="1" applyAlignment="1">
      <alignment horizontal="center" vertical="top"/>
    </xf>
    <xf numFmtId="2" fontId="12" fillId="0" borderId="1" xfId="0" applyNumberFormat="1" applyFont="1" applyBorder="1" applyAlignment="1">
      <alignment horizontal="center" vertical="top"/>
    </xf>
    <xf numFmtId="0" fontId="12" fillId="0" borderId="1" xfId="0" applyFont="1" applyBorder="1" applyAlignment="1">
      <alignment horizontal="center" vertical="top"/>
    </xf>
    <xf numFmtId="0" fontId="62" fillId="0" borderId="12" xfId="0" applyFont="1" applyBorder="1" applyAlignment="1">
      <alignment horizontal="center" vertical="top"/>
    </xf>
    <xf numFmtId="0" fontId="62" fillId="0" borderId="5" xfId="0" applyFont="1" applyBorder="1" applyAlignment="1">
      <alignment horizontal="center" vertical="top"/>
    </xf>
    <xf numFmtId="0" fontId="62" fillId="0" borderId="6" xfId="0" applyFont="1" applyBorder="1" applyAlignment="1">
      <alignment horizontal="center" vertical="top"/>
    </xf>
    <xf numFmtId="0" fontId="62" fillId="0" borderId="1" xfId="0" applyFont="1" applyBorder="1" applyAlignment="1">
      <alignment horizontal="right" vertical="top"/>
    </xf>
    <xf numFmtId="0" fontId="62" fillId="0" borderId="8" xfId="0" applyFont="1" applyBorder="1" applyAlignment="1">
      <alignment horizontal="center" vertical="top"/>
    </xf>
    <xf numFmtId="0" fontId="70" fillId="0" borderId="12" xfId="0" applyFont="1" applyBorder="1" applyAlignment="1">
      <alignment horizontal="center" vertical="top"/>
    </xf>
    <xf numFmtId="0" fontId="70" fillId="0" borderId="5" xfId="0" applyFont="1" applyBorder="1" applyAlignment="1">
      <alignment horizontal="center" vertical="top"/>
    </xf>
    <xf numFmtId="0" fontId="70" fillId="0" borderId="6" xfId="0" applyFont="1" applyBorder="1" applyAlignment="1">
      <alignment horizontal="center" vertical="top"/>
    </xf>
    <xf numFmtId="0" fontId="69" fillId="0" borderId="5" xfId="0" applyFont="1" applyBorder="1" applyAlignment="1">
      <alignment horizontal="left" vertical="top"/>
    </xf>
    <xf numFmtId="0" fontId="69" fillId="0" borderId="6" xfId="0" applyFont="1" applyBorder="1" applyAlignment="1">
      <alignment horizontal="left" vertical="top"/>
    </xf>
    <xf numFmtId="9" fontId="62" fillId="0" borderId="1" xfId="3" applyFont="1" applyBorder="1" applyAlignment="1">
      <alignment horizontal="right" vertical="center"/>
    </xf>
    <xf numFmtId="0" fontId="0" fillId="10" borderId="1" xfId="0" applyFill="1" applyBorder="1" applyAlignment="1">
      <alignment horizontal="center" vertical="top"/>
    </xf>
    <xf numFmtId="0" fontId="69" fillId="0" borderId="0" xfId="0" applyFont="1" applyAlignment="1">
      <alignment horizontal="center" vertical="top"/>
    </xf>
  </cellXfs>
  <cellStyles count="6">
    <cellStyle name="Normal" xfId="0" builtinId="0"/>
    <cellStyle name="Normal 2" xfId="1" xr:uid="{D19148BD-9B6D-4EE2-AFFC-616B1FAF6C3D}"/>
    <cellStyle name="Normal 3" xfId="2" xr:uid="{3E55DAC3-CECB-42A3-A01B-BF7391A2E243}"/>
    <cellStyle name="Normal 4" xfId="4" xr:uid="{5AD182E1-5432-4C37-8C76-1ECEA3C23AB3}"/>
    <cellStyle name="Percent" xfId="3" builtinId="5"/>
    <cellStyle name="Percent 2" xfId="5" xr:uid="{F945F946-3659-45D4-B3E0-0E0B68265D62}"/>
  </cellStyles>
  <dxfs count="114">
    <dxf>
      <font>
        <strike val="0"/>
        <outline val="0"/>
        <shadow val="0"/>
        <u val="none"/>
        <vertAlign val="baseline"/>
        <sz val="11"/>
        <color rgb="FF00000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numFmt numFmtId="2" formatCode="0.00"/>
      <alignment textRotation="0" wrapText="1" indent="0" justifyLastLine="0" shrinkToFit="0" readingOrder="0"/>
    </dxf>
    <dxf>
      <numFmt numFmtId="19" formatCode="m/d/yyyy"/>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left" vertical="top" textRotation="0" wrapText="1" indent="0" justifyLastLine="0" shrinkToFit="0" readingOrder="0"/>
    </dxf>
    <dxf>
      <font>
        <b/>
      </font>
    </dxf>
    <dxf>
      <alignment horizontal="center"/>
    </dxf>
    <dxf>
      <alignment wrapText="1"/>
    </dxf>
    <dxf>
      <numFmt numFmtId="0" formatCode="General"/>
    </dxf>
    <dxf>
      <numFmt numFmtId="0" formatCode="General"/>
    </dxf>
    <dxf>
      <fill>
        <patternFill>
          <bgColor theme="0" tint="-0.14999847407452621"/>
        </patternFill>
      </fill>
    </dxf>
    <dxf>
      <fill>
        <patternFill>
          <bgColor theme="0" tint="-0.14999847407452621"/>
        </patternFill>
      </fill>
    </dxf>
    <dxf>
      <fill>
        <patternFill>
          <bgColor theme="0" tint="-0.14999847407452621"/>
        </patternFill>
      </fill>
    </dxf>
    <dxf>
      <alignment horizontal="left"/>
    </dxf>
    <dxf>
      <alignment horizontal="left"/>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sz val="11"/>
      </font>
    </dxf>
    <dxf>
      <font>
        <sz val="11"/>
      </font>
    </dxf>
    <dxf>
      <font>
        <sz val="11"/>
      </font>
    </dxf>
    <dxf>
      <font>
        <sz val="11"/>
      </font>
    </dxf>
    <dxf>
      <font>
        <sz val="11"/>
      </font>
    </dxf>
    <dxf>
      <font>
        <sz val="11"/>
      </font>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alignment horizontal="left"/>
    </dxf>
    <dxf>
      <alignment horizontal="left"/>
    </dxf>
    <dxf>
      <alignment vertical="top"/>
    </dxf>
    <dxf>
      <alignment vertical="top"/>
    </dxf>
    <dxf>
      <numFmt numFmtId="13" formatCode="0%"/>
    </dxf>
    <dxf>
      <numFmt numFmtId="13" formatCode="0%"/>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rgb="FFC00000"/>
        </patternFill>
      </fill>
    </dxf>
    <dxf>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ill>
        <patternFill>
          <bgColor theme="1"/>
        </patternFill>
      </fill>
    </dxf>
    <dxf>
      <fill>
        <patternFill>
          <bgColor theme="1"/>
        </patternFill>
      </fill>
    </dxf>
    <dxf>
      <font>
        <color theme="6" tint="0.59996337778862885"/>
      </font>
      <fill>
        <patternFill>
          <bgColor theme="6" tint="0.59996337778862885"/>
        </patternFill>
      </fill>
    </dxf>
    <dxf>
      <fill>
        <patternFill>
          <bgColor theme="6" tint="0.39994506668294322"/>
        </patternFill>
      </fill>
    </dxf>
    <dxf>
      <fill>
        <patternFill>
          <bgColor rgb="FFC00000"/>
        </patternFill>
      </fill>
    </dxf>
    <dxf>
      <fill>
        <patternFill>
          <bgColor theme="0" tint="-0.24994659260841701"/>
        </patternFill>
      </fill>
    </dxf>
    <dxf>
      <fill>
        <patternFill>
          <bgColor theme="0" tint="-0.24994659260841701"/>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9" defaultPivotStyle="PivotStyleLight16">
    <tableStyle name="Gridlines" table="0" count="3" xr9:uid="{4AB270B4-1A99-452B-9F7C-ADA4792A701B}">
      <tableStyleElement type="wholeTable" dxfId="113"/>
      <tableStyleElement type="headerRow" dxfId="112"/>
      <tableStyleElement type="totalRow" dxfId="111"/>
    </tableStyle>
  </tableStyles>
  <colors>
    <mruColors>
      <color rgb="FFD7E3BB"/>
      <color rgb="FFF79646"/>
      <color rgb="FF4F81BD"/>
      <color rgb="FFD8E4BC"/>
      <color rgb="FFCCFFCC"/>
      <color rgb="FFCCFF99"/>
      <color rgb="FFFFFF99"/>
      <color rgb="FF99FF99"/>
      <color rgb="FF99FF66"/>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microsoft.com/office/2017/06/relationships/rdRichValueTypes" Target="richData/rdRichValueTyp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5" Type="http://schemas.openxmlformats.org/officeDocument/2006/relationships/customXml" Target="../customXml/item5.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24" Type="http://schemas.openxmlformats.org/officeDocument/2006/relationships/customXml" Target="../customXml/item4.xml"/><Relationship Id="rId5" Type="http://schemas.openxmlformats.org/officeDocument/2006/relationships/worksheet" Target="worksheets/sheet5.xml"/><Relationship Id="rId15" Type="http://schemas.microsoft.com/office/2022/10/relationships/richValueRel" Target="richData/richValueRel.xml"/><Relationship Id="rId23" Type="http://schemas.openxmlformats.org/officeDocument/2006/relationships/customXml" Target="../customXml/item3.xml"/><Relationship Id="rId10" Type="http://schemas.openxmlformats.org/officeDocument/2006/relationships/theme" Target="theme/theme1.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eetMetadata" Target="metadata.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PCS_Report!$C$45</c:f>
              <c:strCache>
                <c:ptCount val="1"/>
                <c:pt idx="0">
                  <c:v>Desirable</c:v>
                </c:pt>
              </c:strCache>
            </c:strRef>
          </c:tx>
          <c:spPr>
            <a:solidFill>
              <a:schemeClr val="accent1"/>
            </a:solidFill>
            <a:ln>
              <a:noFill/>
            </a:ln>
            <a:effectLst>
              <a:outerShdw blurRad="254000" sx="102000" sy="102000" algn="ctr" rotWithShape="0">
                <a:prstClr val="black">
                  <a:alpha val="20000"/>
                </a:prstClr>
              </a:outerShdw>
            </a:effectLst>
          </c:spPr>
          <c:invertIfNegative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PCS_Report!$B$46:$B$49</c:f>
            </c:multiLvlStrRef>
          </c:cat>
          <c:val>
            <c:numRef>
              <c:f>PCS_Report!$C$46:$C$49</c:f>
            </c:numRef>
          </c:val>
          <c:extLst>
            <c:ext xmlns:c16="http://schemas.microsoft.com/office/drawing/2014/chart" uri="{C3380CC4-5D6E-409C-BE32-E72D297353CC}">
              <c16:uniqueId val="{00000000-ED56-4F9B-A04B-FA982099E284}"/>
            </c:ext>
          </c:extLst>
        </c:ser>
        <c:ser>
          <c:idx val="1"/>
          <c:order val="1"/>
          <c:tx>
            <c:strRef>
              <c:f>PCS_Report!$D$45</c:f>
              <c:strCache>
                <c:ptCount val="1"/>
                <c:pt idx="0">
                  <c:v>Intermediate</c:v>
                </c:pt>
              </c:strCache>
            </c:strRef>
          </c:tx>
          <c:spPr>
            <a:solidFill>
              <a:schemeClr val="accent2"/>
            </a:solidFill>
            <a:ln>
              <a:noFill/>
            </a:ln>
            <a:effectLst>
              <a:outerShdw blurRad="254000" sx="102000" sy="102000" algn="ctr" rotWithShape="0">
                <a:prstClr val="black">
                  <a:alpha val="20000"/>
                </a:prstClr>
              </a:outerShdw>
            </a:effectLst>
          </c:spPr>
          <c:invertIfNegative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PCS_Report!$B$46:$B$49</c:f>
            </c:multiLvlStrRef>
          </c:cat>
          <c:val>
            <c:numRef>
              <c:f>PCS_Report!$D$46:$D$49</c:f>
            </c:numRef>
          </c:val>
          <c:extLst>
            <c:ext xmlns:c16="http://schemas.microsoft.com/office/drawing/2014/chart" uri="{C3380CC4-5D6E-409C-BE32-E72D297353CC}">
              <c16:uniqueId val="{00000001-ED56-4F9B-A04B-FA982099E284}"/>
            </c:ext>
          </c:extLst>
        </c:ser>
        <c:ser>
          <c:idx val="2"/>
          <c:order val="2"/>
          <c:tx>
            <c:strRef>
              <c:f>PCS_Report!$E$45</c:f>
              <c:strCache>
                <c:ptCount val="1"/>
                <c:pt idx="0">
                  <c:v>Undesirable</c:v>
                </c:pt>
              </c:strCache>
            </c:strRef>
          </c:tx>
          <c:spPr>
            <a:solidFill>
              <a:schemeClr val="accent3"/>
            </a:solidFill>
            <a:ln>
              <a:noFill/>
            </a:ln>
            <a:effectLst>
              <a:outerShdw blurRad="254000" sx="102000" sy="102000" algn="ctr" rotWithShape="0">
                <a:prstClr val="black">
                  <a:alpha val="20000"/>
                </a:prstClr>
              </a:outerShdw>
            </a:effectLst>
          </c:spPr>
          <c:invertIfNegative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PCS_Report!$B$46:$B$49</c:f>
            </c:multiLvlStrRef>
          </c:cat>
          <c:val>
            <c:numRef>
              <c:f>PCS_Report!$E$46:$E$49</c:f>
            </c:numRef>
          </c:val>
          <c:extLst>
            <c:ext xmlns:c16="http://schemas.microsoft.com/office/drawing/2014/chart" uri="{C3380CC4-5D6E-409C-BE32-E72D297353CC}">
              <c16:uniqueId val="{00000002-ED56-4F9B-A04B-FA982099E284}"/>
            </c:ext>
          </c:extLst>
        </c:ser>
        <c:dLbls>
          <c:showLegendKey val="0"/>
          <c:showVal val="0"/>
          <c:showCatName val="0"/>
          <c:showSerName val="0"/>
          <c:showPercent val="0"/>
          <c:showBubbleSize val="0"/>
        </c:dLbls>
        <c:gapWidth val="150"/>
        <c:axId val="111990128"/>
        <c:axId val="111989648"/>
      </c:barChart>
      <c:catAx>
        <c:axId val="111990128"/>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1989648"/>
        <c:crosses val="autoZero"/>
        <c:auto val="1"/>
        <c:lblAlgn val="ctr"/>
        <c:lblOffset val="100"/>
        <c:noMultiLvlLbl val="0"/>
      </c:catAx>
      <c:valAx>
        <c:axId val="111989648"/>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11990128"/>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PCS_Report!$C$56</c:f>
              <c:strCache>
                <c:ptCount val="1"/>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PCS_Report!$B$57:$B$59</c:f>
            </c:multiLvlStrRef>
          </c:cat>
          <c:val>
            <c:numRef>
              <c:f>PCS_Report!$C$57:$C$59</c:f>
            </c:numRef>
          </c:val>
          <c:extLst>
            <c:ext xmlns:c16="http://schemas.microsoft.com/office/drawing/2014/chart" uri="{C3380CC4-5D6E-409C-BE32-E72D297353CC}">
              <c16:uniqueId val="{00000000-7884-4F30-9664-FABB62F9A761}"/>
            </c:ext>
          </c:extLst>
        </c:ser>
        <c:dLbls>
          <c:showLegendKey val="0"/>
          <c:showVal val="0"/>
          <c:showCatName val="0"/>
          <c:showSerName val="0"/>
          <c:showPercent val="0"/>
          <c:showBubbleSize val="0"/>
        </c:dLbls>
        <c:gapWidth val="65"/>
        <c:shape val="box"/>
        <c:axId val="269159760"/>
        <c:axId val="269157360"/>
        <c:axId val="0"/>
      </c:bar3DChart>
      <c:catAx>
        <c:axId val="269159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69157360"/>
        <c:crosses val="autoZero"/>
        <c:auto val="1"/>
        <c:lblAlgn val="ctr"/>
        <c:lblOffset val="100"/>
        <c:noMultiLvlLbl val="0"/>
      </c:catAx>
      <c:valAx>
        <c:axId val="269157360"/>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69159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PCS_Report!$E$56:$E$59</c:f>
            </c:multiLvlStrRef>
          </c:cat>
          <c:val>
            <c:numRef>
              <c:f>PCS_Report!$F$56:$F$59</c:f>
            </c:numRef>
          </c:val>
          <c:extLst>
            <c:ext xmlns:c16="http://schemas.microsoft.com/office/drawing/2014/chart" uri="{C3380CC4-5D6E-409C-BE32-E72D297353CC}">
              <c16:uniqueId val="{00000000-24DE-40B5-9091-B5951325BE1A}"/>
            </c:ext>
          </c:extLst>
        </c:ser>
        <c:dLbls>
          <c:showLegendKey val="0"/>
          <c:showVal val="0"/>
          <c:showCatName val="0"/>
          <c:showSerName val="0"/>
          <c:showPercent val="0"/>
          <c:showBubbleSize val="0"/>
        </c:dLbls>
        <c:gapWidth val="65"/>
        <c:shape val="box"/>
        <c:axId val="301597712"/>
        <c:axId val="301598192"/>
        <c:axId val="0"/>
      </c:bar3DChart>
      <c:catAx>
        <c:axId val="30159771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01598192"/>
        <c:crosses val="autoZero"/>
        <c:auto val="1"/>
        <c:lblAlgn val="ctr"/>
        <c:lblOffset val="100"/>
        <c:noMultiLvlLbl val="0"/>
      </c:catAx>
      <c:valAx>
        <c:axId val="301598192"/>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01597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1"/>
          <c:order val="0"/>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PCS_Report!$I$57:$I$59</c:f>
            </c:multiLvlStrRef>
          </c:cat>
          <c:val>
            <c:numRef>
              <c:f>PCS_Report!$K$57:$K$59</c:f>
            </c:numRef>
          </c:val>
          <c:extLst>
            <c:ext xmlns:c16="http://schemas.microsoft.com/office/drawing/2014/chart" uri="{C3380CC4-5D6E-409C-BE32-E72D297353CC}">
              <c16:uniqueId val="{00000001-E7A8-4BB6-9184-9549AE61B537}"/>
            </c:ext>
          </c:extLst>
        </c:ser>
        <c:dLbls>
          <c:showLegendKey val="0"/>
          <c:showVal val="0"/>
          <c:showCatName val="0"/>
          <c:showSerName val="0"/>
          <c:showPercent val="0"/>
          <c:showBubbleSize val="0"/>
        </c:dLbls>
        <c:gapWidth val="65"/>
        <c:shape val="box"/>
        <c:axId val="294235200"/>
        <c:axId val="294235680"/>
        <c:axId val="0"/>
      </c:bar3DChart>
      <c:catAx>
        <c:axId val="29423520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94235680"/>
        <c:crosses val="autoZero"/>
        <c:auto val="1"/>
        <c:lblAlgn val="ctr"/>
        <c:lblOffset val="100"/>
        <c:noMultiLvlLbl val="0"/>
      </c:catAx>
      <c:valAx>
        <c:axId val="294235680"/>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94235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png"/></Relationships>
</file>

<file path=xl/drawings/_rels/drawing4.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png"/></Relationships>
</file>

<file path=xl/drawings/_rels/drawing5.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11.jpeg"/><Relationship Id="rId1" Type="http://schemas.openxmlformats.org/officeDocument/2006/relationships/image" Target="../media/image10.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4.emf"/><Relationship Id="rId5" Type="http://schemas.openxmlformats.org/officeDocument/2006/relationships/image" Target="../media/image9.emf"/><Relationship Id="rId4" Type="http://schemas.openxmlformats.org/officeDocument/2006/relationships/image" Target="../media/image8.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0</xdr:col>
      <xdr:colOff>9525</xdr:colOff>
      <xdr:row>0</xdr:row>
      <xdr:rowOff>19049</xdr:rowOff>
    </xdr:from>
    <xdr:to>
      <xdr:col>34</xdr:col>
      <xdr:colOff>485775</xdr:colOff>
      <xdr:row>116</xdr:row>
      <xdr:rowOff>85724</xdr:rowOff>
    </xdr:to>
    <xdr:sp macro="" textlink="">
      <xdr:nvSpPr>
        <xdr:cNvPr id="9" name="TextBox 8">
          <a:extLst>
            <a:ext uri="{FF2B5EF4-FFF2-40B4-BE49-F238E27FC236}">
              <a16:creationId xmlns:a16="http://schemas.microsoft.com/office/drawing/2014/main" id="{5165289D-85AA-4F13-87A6-2791574AB3A1}"/>
            </a:ext>
          </a:extLst>
        </xdr:cNvPr>
        <xdr:cNvSpPr txBox="1"/>
      </xdr:nvSpPr>
      <xdr:spPr>
        <a:xfrm>
          <a:off x="9525" y="19049"/>
          <a:ext cx="17964150" cy="18849975"/>
        </a:xfrm>
        <a:prstGeom prst="rect">
          <a:avLst/>
        </a:prstGeom>
        <a:blipFill dpi="0" rotWithShape="1">
          <a:blip xmlns:r="http://schemas.openxmlformats.org/officeDocument/2006/relationships" r:embed="rId1">
            <a:alphaModFix amt="39000"/>
          </a:blip>
          <a:srcRect/>
          <a:stretch>
            <a:fillRect/>
          </a:stretch>
        </a:blip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a:ea typeface="+mn-ea"/>
              <a:cs typeface="+mn-cs"/>
            </a:rPr>
            <a:t>Instructions</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4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Pasture condition scoring (PCS) is a systematic way to assess how well a pasture is being managed and resources protected. A pasture rated with a high score is well-managed with productivity (plant and animal) being sustained or enhanced. By rating the key indicators common to all pastures, pasture condition can be evaluated and the primary reasons for a low condition score can be identified.  </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ysClr val="windowText" lastClr="000000"/>
              </a:solidFill>
              <a:effectLst/>
              <a:uLnTx/>
              <a:uFillTx/>
              <a:latin typeface="Calibri"/>
              <a:ea typeface="+mn-ea"/>
              <a:cs typeface="+mn-cs"/>
            </a:rPr>
            <a:t>Form tab - top section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Complete the gray boxes.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ysClr val="windowText" lastClr="000000"/>
              </a:solidFill>
              <a:effectLst/>
              <a:uLnTx/>
              <a:uFillTx/>
              <a:latin typeface="Calibri"/>
              <a:ea typeface="+mn-ea"/>
              <a:cs typeface="+mn-cs"/>
            </a:rPr>
            <a:t>Form tab - middle section</a:t>
          </a:r>
          <a:endParaRPr kumimoji="0" lang="en-US" sz="1800" b="0" i="0" u="sng"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Select the livestock(s) that utilize the fields of pasture you conducting the PCS on. Be sure to click on the "Click Here (after selection)" button to prepare the livestock or the list of livestock for the PCS Report.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Select the current season's Precipitation and Temperature.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ysClr val="windowText" lastClr="000000"/>
              </a:solidFill>
              <a:effectLst/>
              <a:uLnTx/>
              <a:uFillTx/>
              <a:latin typeface="Calibri"/>
              <a:ea typeface="+mn-ea"/>
              <a:cs typeface="+mn-cs"/>
            </a:rPr>
            <a:t>Form tab - lower section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Answer the Yes or No question concerning the use of STEP Point Method to complete the PCS.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If No</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you will be conducting a manual PCS evaluation.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Select the "Refresh Report" button. This will refresh the data for the PCS Report and take you to the PCS tab to complete the remaining PCS indicators.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ysClr val="windowText" lastClr="000000"/>
              </a:solidFill>
              <a:effectLst/>
              <a:uLnTx/>
              <a:uFillTx/>
              <a:latin typeface="Calibri"/>
              <a:ea typeface="+mn-ea"/>
              <a:cs typeface="+mn-cs"/>
            </a:rPr>
            <a:t>PCS tab</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ysClr val="windowText" lastClr="000000"/>
              </a:solidFill>
              <a:effectLst/>
              <a:uLnTx/>
              <a:uFillTx/>
              <a:latin typeface="Calibri"/>
              <a:ea typeface="+mn-ea"/>
              <a:cs typeface="+mn-cs"/>
            </a:rPr>
            <a:t>Evaluate the site and rate each indicator based upon your observations of the entire site.  Scores for each indicator may range from 1 to 5. Scores below 4 may indicate a Resouce Concern on Planning Criteria and should be addressed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OR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ysClr val="windowText" lastClr="000000"/>
              </a:solidFill>
              <a:effectLst/>
              <a:uLnTx/>
              <a:uFillTx/>
              <a:latin typeface="Calibri"/>
              <a:ea typeface="+mn-ea"/>
              <a:cs typeface="+mn-cs"/>
            </a:rPr>
            <a:t>Form tab - lower section</a:t>
          </a: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If Yes</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you will be conducting the PCS evaluation utilizing the STEP Point Method.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ysClr val="windowText" lastClr="000000"/>
              </a:solidFill>
              <a:effectLst/>
              <a:uLnTx/>
              <a:uFillTx/>
              <a:latin typeface="Calibri"/>
              <a:ea typeface="+mn-ea"/>
              <a:cs typeface="+mn-cs"/>
            </a:rPr>
            <a:t>This spreadsheet integrates the Step Point Method of Sampling which allows certain PCS indicators to be answered automatically by the results provided by the Step Point Method inputs. </a:t>
          </a:r>
          <a:r>
            <a:rPr kumimoji="0" lang="en-US" sz="1800" b="1" i="0" u="none" strike="noStrike" kern="0" cap="none" spc="0" normalizeH="0" baseline="0" noProof="0">
              <a:ln>
                <a:noFill/>
              </a:ln>
              <a:solidFill>
                <a:sysClr val="windowText" lastClr="000000"/>
              </a:solidFill>
              <a:effectLst/>
              <a:uLnTx/>
              <a:uFillTx/>
              <a:latin typeface="+mn-lt"/>
              <a:ea typeface="+mn-ea"/>
              <a:cs typeface="+mn-cs"/>
            </a:rPr>
            <a:t>The following PCS Indicators are answered automatically; Percent Desirable Plants, Percent Legume, Live Plant Cover, Plant Diversity and Plant Residue and Litter as Soil Cover.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Procedure</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An individual step-point is established by the sampler lowering the sampling pin to the ground, guided by a definite notch on the toe of the boot. At each step-point the sampler places his boot at a 30” angle to the ground to avoid disturbing plants in the immediate vicinity, and lowers the pin perpendicularly to the sole of the boot until it either hits an herbaceous plant or the ground. The first herbaceous plant hit by the point or the side of the point of the pin is recorded.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The number of steps is determined by the Acres input which is a required field in the top section of the form. Once the Acres field has been completed, the number of steps field will populate.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For each recorded observation, record the soil cover, live cover and record the Step Sample. At each recorded observation select the "Copy Data to Table" button. This will "push" the information on the form to the Form Data Table on the Form_Data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Once you have completed the necessary number of steps, the "Completed Steps" field will change color from red to green indicating that you have completed the required number of steps for that field.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Select the "Refresh Report" button. This will refresh the data for the PCS Report and take you to the PCS tab to complete the remaining PCS indicators.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ysClr val="windowText" lastClr="000000"/>
              </a:solidFill>
              <a:effectLst/>
              <a:uLnTx/>
              <a:uFillTx/>
              <a:latin typeface="Calibri"/>
              <a:ea typeface="+mn-ea"/>
              <a:cs typeface="+mn-cs"/>
            </a:rPr>
            <a:t>PCS tab</a:t>
          </a:r>
          <a:endParaRPr kumimoji="0" lang="en-US" sz="18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Evaluate the site and rate each indicator based upon your observations of the entire site.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Once the remaining PCS indicators have been completed, select the "Go to PCS Report" button. This will take you to the PCS_Report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ysClr val="windowText" lastClr="000000"/>
              </a:solidFill>
              <a:effectLst/>
              <a:uLnTx/>
              <a:uFillTx/>
              <a:latin typeface="Calibri"/>
              <a:ea typeface="+mn-ea"/>
              <a:cs typeface="+mn-cs"/>
            </a:rPr>
            <a:t>PCS Report tab</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The PCS Report tab will provide you with a summary of the information of the evaluation.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Form Reference tab </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This tab is for State's Desirable Forage Species list and lists associated with this form. States may use existing list and change the State Selection in column N or make changes to the list to meet their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States may make changes to reflect offices in their state in column 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Notes on Automation of PCS criteria: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PCS automation is achieved when the user utilizes the STEP method and answers "Yes" to the question on row 18 on the forms tab. </a:t>
          </a:r>
          <a:r>
            <a:rPr kumimoji="0" lang="en-US" sz="1100" b="0" i="0" u="none" strike="noStrike" kern="0" cap="none" spc="0" normalizeH="0" baseline="0" noProof="0">
              <a:ln>
                <a:noFill/>
              </a:ln>
              <a:solidFill>
                <a:srgbClr val="F79646">
                  <a:lumMod val="50000"/>
                </a:srgbClr>
              </a:solidFill>
              <a:effectLst/>
              <a:uLnTx/>
              <a:uFillTx/>
              <a:latin typeface="Calibri"/>
              <a:ea typeface="+mn-ea"/>
              <a:cs typeface="+mn-cs"/>
            </a:rPr>
            <a:t>When changing this question, click on the Refresh Report button to update the report data.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The following PCS questions are automated;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1) Percent Desirable Plants*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2) Percent Legume*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3) Live Plant Cover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4) Plant Diversity*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5) Plant Residue and Litter as Soil Cover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  Percent Desirable Plants*,  Percent Legume*,  Plant Diversity* are automated by using recorded species count and not dry weight as indicated by the criteria as listed.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Percent Desirable Plants - </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Based on Desirable Plants for Cattle - PCS_Report!C46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Percent Legume - </a:t>
          </a:r>
          <a:r>
            <a:rPr lang="en-US" sz="1100" b="0" i="0" baseline="0">
              <a:effectLst/>
              <a:latin typeface="+mn-lt"/>
              <a:ea typeface="+mn-ea"/>
              <a:cs typeface="+mn-cs"/>
            </a:rPr>
            <a:t>Based on Percent Legume from recorded STEPS - PCS_Report!K82</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baseline="0">
              <a:effectLst/>
              <a:latin typeface="+mn-lt"/>
              <a:ea typeface="+mn-ea"/>
              <a:cs typeface="+mn-cs"/>
            </a:rPr>
            <a:t>Live Plant Cover - </a:t>
          </a:r>
          <a:r>
            <a:rPr lang="en-US" sz="1100" b="0" i="0" baseline="0">
              <a:effectLst/>
              <a:latin typeface="+mn-lt"/>
              <a:ea typeface="+mn-ea"/>
              <a:cs typeface="+mn-cs"/>
            </a:rPr>
            <a:t>Based on Live Plant Cover from recorded STEPS - PCS_Report!K57</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baseline="0">
              <a:effectLst/>
              <a:latin typeface="+mn-lt"/>
              <a:ea typeface="+mn-ea"/>
              <a:cs typeface="+mn-cs"/>
            </a:rPr>
            <a:t>Plant Diversity - </a:t>
          </a:r>
          <a:r>
            <a:rPr lang="en-US" sz="1100" b="0" i="0" baseline="0">
              <a:effectLst/>
              <a:latin typeface="+mn-lt"/>
              <a:ea typeface="+mn-ea"/>
              <a:cs typeface="+mn-cs"/>
            </a:rPr>
            <a:t>Based on Dominant (≥.0.15) Desirable Plants for Cattle, Dominant (≥.0.15) Desirable Forage Groups for Cattle consisting of; CSGrasses, WSGrasses, Legumes and Forbs, Minor (&lt;=0.15) Desirable Plants for Cattle,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effectLst/>
              <a:latin typeface="+mn-lt"/>
              <a:ea typeface="+mn-ea"/>
              <a:cs typeface="+mn-cs"/>
            </a:rPr>
            <a:t>                              Minor (&lt;0.15)  Desirable Forage Groups for Cattle consisting of; CSGrasses, WSGrasses, Legumes and Forbs obtained from recorded STEPS.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effectLst/>
              <a:latin typeface="+mn-lt"/>
              <a:ea typeface="+mn-ea"/>
              <a:cs typeface="+mn-cs"/>
            </a:rPr>
            <a:t>	Plant Diversity had many cases during testing where it would recieve two different scores. This is due to an overlap in the rule formula where both scores are TRUE. To address this issue, the MAX function was used to select the highest score.</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effectLst/>
              <a:latin typeface="+mn-lt"/>
              <a:ea typeface="+mn-ea"/>
              <a:cs typeface="+mn-cs"/>
            </a:rPr>
            <a:t>	A Note for Diversity indicates that anytime there are more undesirables, the score will be 1. To address this, the formula for the Diversity automated score was adjusted to include the following IF statement in PCS!H12 cell - IF(PCS_Report!C46&lt;0.5,1,(MAXIFS(K12:K16,K12:K16,"&gt;0").</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effectLst/>
              <a:latin typeface="+mn-lt"/>
              <a:ea typeface="+mn-ea"/>
              <a:cs typeface="+mn-cs"/>
            </a:rPr>
            <a:t>	- To be more conservative, States may change the MAX function to the MIN function on tab PCS H12, in order to select the lower score. Please review "Documenting PCS Diversity Definition Issues".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effectLst/>
              <a:latin typeface="+mn-lt"/>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baseline="0">
              <a:effectLst/>
              <a:latin typeface="+mn-lt"/>
              <a:ea typeface="+mn-ea"/>
              <a:cs typeface="+mn-cs"/>
            </a:rPr>
            <a:t>Plant Residue and Litter as Soil Cover - </a:t>
          </a:r>
          <a:r>
            <a:rPr lang="en-US" sz="1100" b="0" i="0" baseline="0">
              <a:effectLst/>
              <a:latin typeface="+mn-lt"/>
              <a:ea typeface="+mn-ea"/>
              <a:cs typeface="+mn-cs"/>
            </a:rPr>
            <a:t>Based on Plant Residue from recorded STEPS - PCS_Report!F57</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The results of the automated scores have been tested and found to be accurate. If you believe there is an issue it may be due to rounding. To check, select the appropriate cell and expand the decimal places to the hundredth position (0.</a:t>
          </a:r>
          <a:r>
            <a:rPr kumimoji="0" lang="en-US" sz="1100" b="1" i="0" u="none" strike="noStrike" kern="0" cap="none" spc="0" normalizeH="0" baseline="0" noProof="0">
              <a:ln>
                <a:noFill/>
              </a:ln>
              <a:solidFill>
                <a:srgbClr val="C00000"/>
              </a:solidFill>
              <a:effectLst/>
              <a:uLnTx/>
              <a:uFillTx/>
              <a:latin typeface="Calibri"/>
              <a:ea typeface="+mn-ea"/>
              <a:cs typeface="+mn-cs"/>
            </a:rPr>
            <a:t>00</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This will allow you to see if it is due to rounding of the count or peercentage.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a:ea typeface="+mn-ea"/>
              <a:cs typeface="+mn-cs"/>
            </a:rPr>
            <a:t>Definitions: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mn-lt"/>
              <a:ea typeface="+mn-ea"/>
              <a:cs typeface="+mn-cs"/>
            </a:rPr>
            <a:t>Functional Groups: </a:t>
          </a:r>
          <a:r>
            <a:rPr kumimoji="0" lang="en-US" sz="1100" b="0" i="0" u="none" strike="noStrike" kern="0" cap="none" spc="0" normalizeH="0" baseline="0" noProof="0">
              <a:ln>
                <a:noFill/>
              </a:ln>
              <a:solidFill>
                <a:sysClr val="windowText" lastClr="000000"/>
              </a:solidFill>
              <a:effectLst/>
              <a:uLnTx/>
              <a:uFillTx/>
              <a:latin typeface="+mn-lt"/>
              <a:ea typeface="+mn-ea"/>
              <a:cs typeface="+mn-cs"/>
            </a:rPr>
            <a:t>This is the count of all functional groups that were recorded and are listed in the Functional Groups column on the Form_Reference tab.</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mn-lt"/>
              <a:ea typeface="+mn-ea"/>
              <a:cs typeface="+mn-cs"/>
            </a:rPr>
            <a:t>Distinct Species: </a:t>
          </a:r>
          <a:r>
            <a:rPr lang="en-US" sz="1100" b="0" i="0" baseline="0">
              <a:effectLst/>
              <a:latin typeface="+mn-lt"/>
              <a:ea typeface="+mn-ea"/>
              <a:cs typeface="+mn-cs"/>
            </a:rPr>
            <a:t>This is the distinct count of all species that were recorded and are listed in the CommonName column on the Form_Reference tab. A "distinct count" refers to counting the number of </a:t>
          </a:r>
          <a:r>
            <a:rPr lang="en-US" sz="1100" b="1" i="0" baseline="0">
              <a:effectLst/>
              <a:latin typeface="+mn-lt"/>
              <a:ea typeface="+mn-ea"/>
              <a:cs typeface="+mn-cs"/>
            </a:rPr>
            <a:t>unique</a:t>
          </a:r>
          <a:r>
            <a:rPr lang="en-US" sz="1100" b="0" i="0" baseline="0">
              <a:effectLst/>
              <a:latin typeface="+mn-lt"/>
              <a:ea typeface="+mn-ea"/>
              <a:cs typeface="+mn-cs"/>
            </a:rPr>
            <a:t> items within a set or a data column, effectively ignoring duplicate entries.</a:t>
          </a:r>
        </a:p>
        <a:p>
          <a:pPr marL="0" marR="0" lvl="0" indent="0" algn="l" defTabSz="914400" eaLnBrk="1" fontAlgn="auto" latinLnBrk="0" hangingPunct="1">
            <a:lnSpc>
              <a:spcPct val="100000"/>
            </a:lnSpc>
            <a:spcBef>
              <a:spcPts val="0"/>
            </a:spcBef>
            <a:spcAft>
              <a:spcPts val="0"/>
            </a:spcAft>
            <a:buClrTx/>
            <a:buSzTx/>
            <a:buFontTx/>
            <a:buNone/>
            <a:tabLst/>
            <a:defRPr/>
          </a:pPr>
          <a:r>
            <a:rPr lang="en-US" b="1">
              <a:effectLst/>
            </a:rPr>
            <a:t>Dominant Desired Species: </a:t>
          </a:r>
          <a:r>
            <a:rPr lang="en-US" b="0">
              <a:effectLst/>
            </a:rPr>
            <a:t>This is the count or percentage of recorded</a:t>
          </a:r>
          <a:r>
            <a:rPr lang="en-US" b="0" baseline="0">
              <a:effectLst/>
            </a:rPr>
            <a:t> species that are listed as "Desirable" </a:t>
          </a:r>
          <a:r>
            <a:rPr lang="en-US" sz="1100" b="0" i="0" baseline="0">
              <a:effectLst/>
              <a:latin typeface="+mn-lt"/>
              <a:ea typeface="+mn-ea"/>
              <a:cs typeface="+mn-cs"/>
            </a:rPr>
            <a:t>in the Cattle preference column on the Form_Reference tab </a:t>
          </a:r>
          <a:r>
            <a:rPr lang="en-US" sz="1100" b="1" i="0" baseline="0">
              <a:effectLst/>
              <a:latin typeface="+mn-lt"/>
              <a:ea typeface="+mn-ea"/>
              <a:cs typeface="+mn-cs"/>
            </a:rPr>
            <a:t>AND </a:t>
          </a:r>
          <a:r>
            <a:rPr lang="en-US" sz="1100" b="0" i="0" baseline="0">
              <a:effectLst/>
              <a:latin typeface="+mn-lt"/>
              <a:ea typeface="+mn-ea"/>
              <a:cs typeface="+mn-cs"/>
            </a:rPr>
            <a:t>are listed as "Dominant" in the D79 column on the PCS_Report tab.</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effectLst/>
              <a:latin typeface="+mn-lt"/>
              <a:ea typeface="+mn-ea"/>
              <a:cs typeface="+mn-cs"/>
            </a:rPr>
            <a:t>	In order to be considered "Dominant", the recorded count for that species must be (≥0.15) of the total recorded count of species.</a:t>
          </a:r>
        </a:p>
        <a:p>
          <a:pPr eaLnBrk="1" fontAlgn="auto" latinLnBrk="0" hangingPunct="1"/>
          <a:r>
            <a:rPr lang="en-US" b="1">
              <a:effectLst/>
            </a:rPr>
            <a:t>Dom. Des. Functional Groups: </a:t>
          </a:r>
          <a:r>
            <a:rPr lang="en-US" sz="1100" b="0">
              <a:effectLst/>
              <a:latin typeface="+mn-lt"/>
              <a:ea typeface="+mn-ea"/>
              <a:cs typeface="+mn-cs"/>
            </a:rPr>
            <a:t>This is the count or percentage of recorded</a:t>
          </a:r>
          <a:r>
            <a:rPr lang="en-US" sz="1100" b="0" baseline="0">
              <a:effectLst/>
              <a:latin typeface="+mn-lt"/>
              <a:ea typeface="+mn-ea"/>
              <a:cs typeface="+mn-cs"/>
            </a:rPr>
            <a:t> species that are listed as </a:t>
          </a:r>
          <a:r>
            <a:rPr lang="en-US" sz="1100" b="1" baseline="0">
              <a:effectLst/>
              <a:latin typeface="+mn-lt"/>
              <a:ea typeface="+mn-ea"/>
              <a:cs typeface="+mn-cs"/>
            </a:rPr>
            <a:t>"Desirable" </a:t>
          </a:r>
          <a:r>
            <a:rPr lang="en-US" sz="1100" b="0" i="0" baseline="0">
              <a:effectLst/>
              <a:latin typeface="+mn-lt"/>
              <a:ea typeface="+mn-ea"/>
              <a:cs typeface="+mn-cs"/>
            </a:rPr>
            <a:t>in the Cattle preference column on the Form_Reference tab </a:t>
          </a:r>
          <a:r>
            <a:rPr lang="en-US" sz="1100" b="1" i="0" baseline="0">
              <a:effectLst/>
              <a:latin typeface="+mn-lt"/>
              <a:ea typeface="+mn-ea"/>
              <a:cs typeface="+mn-cs"/>
            </a:rPr>
            <a:t>AND </a:t>
          </a:r>
          <a:r>
            <a:rPr lang="en-US" sz="1100" b="0" i="0" baseline="0">
              <a:effectLst/>
              <a:latin typeface="+mn-lt"/>
              <a:ea typeface="+mn-ea"/>
              <a:cs typeface="+mn-cs"/>
            </a:rPr>
            <a:t>are listed as "Dominant" in the D79 column on the PCS_Report tab.</a:t>
          </a:r>
          <a:endParaRPr lang="en-US">
            <a:effectLst/>
          </a:endParaRPr>
        </a:p>
        <a:p>
          <a:pPr eaLnBrk="1" fontAlgn="auto" latinLnBrk="0" hangingPunct="1"/>
          <a:r>
            <a:rPr lang="en-US" sz="1100" b="0" i="0" baseline="0">
              <a:effectLst/>
              <a:latin typeface="+mn-lt"/>
              <a:ea typeface="+mn-ea"/>
              <a:cs typeface="+mn-cs"/>
            </a:rPr>
            <a:t>	In order to be considered "Dominant", the recorded count for that species must be (≥0.15) of the total recorded count of species </a:t>
          </a:r>
          <a:r>
            <a:rPr lang="en-US" sz="1100" b="1" i="0" baseline="0">
              <a:effectLst/>
              <a:latin typeface="+mn-lt"/>
              <a:ea typeface="+mn-ea"/>
              <a:cs typeface="+mn-cs"/>
            </a:rPr>
            <a:t>AND </a:t>
          </a:r>
          <a:r>
            <a:rPr lang="en-US" sz="1100" b="0" i="0" baseline="0">
              <a:effectLst/>
              <a:latin typeface="+mn-lt"/>
              <a:ea typeface="+mn-ea"/>
              <a:cs typeface="+mn-cs"/>
            </a:rPr>
            <a:t>are listed as the functional groups </a:t>
          </a:r>
          <a:r>
            <a:rPr lang="en-US" sz="1100" b="1" i="0" baseline="0">
              <a:effectLst/>
              <a:latin typeface="+mn-lt"/>
              <a:ea typeface="+mn-ea"/>
              <a:cs typeface="+mn-cs"/>
            </a:rPr>
            <a:t>(CSGrass, WSGrass, Legume or Forb) </a:t>
          </a:r>
          <a:r>
            <a:rPr lang="en-US" sz="1100" b="0" i="0" baseline="0">
              <a:effectLst/>
              <a:latin typeface="+mn-lt"/>
              <a:ea typeface="+mn-ea"/>
              <a:cs typeface="+mn-cs"/>
            </a:rPr>
            <a:t>in the Functional Groups column on the Form_Reference tab.</a:t>
          </a:r>
          <a:endParaRPr lang="en-US">
            <a:effectLst/>
          </a:endParaRPr>
        </a:p>
        <a:p>
          <a:pPr eaLnBrk="1" fontAlgn="auto" latinLnBrk="0" hangingPunct="1"/>
          <a:r>
            <a:rPr lang="en-US" b="1">
              <a:effectLst/>
            </a:rPr>
            <a:t>Minor Desired Species: </a:t>
          </a:r>
          <a:r>
            <a:rPr lang="en-US" sz="1100" b="1">
              <a:effectLst/>
              <a:latin typeface="+mn-lt"/>
              <a:ea typeface="+mn-ea"/>
              <a:cs typeface="+mn-cs"/>
            </a:rPr>
            <a:t>: </a:t>
          </a:r>
          <a:r>
            <a:rPr lang="en-US" sz="1100" b="0">
              <a:effectLst/>
              <a:latin typeface="+mn-lt"/>
              <a:ea typeface="+mn-ea"/>
              <a:cs typeface="+mn-cs"/>
            </a:rPr>
            <a:t>This is the count or percentage of recorded</a:t>
          </a:r>
          <a:r>
            <a:rPr lang="en-US" sz="1100" b="0" baseline="0">
              <a:effectLst/>
              <a:latin typeface="+mn-lt"/>
              <a:ea typeface="+mn-ea"/>
              <a:cs typeface="+mn-cs"/>
            </a:rPr>
            <a:t> species that are listed as "Desirable" </a:t>
          </a:r>
          <a:r>
            <a:rPr lang="en-US" sz="1100" b="0" i="0" baseline="0">
              <a:effectLst/>
              <a:latin typeface="+mn-lt"/>
              <a:ea typeface="+mn-ea"/>
              <a:cs typeface="+mn-cs"/>
            </a:rPr>
            <a:t>in the Cattle preference column on the Form_Reference tab </a:t>
          </a:r>
          <a:r>
            <a:rPr lang="en-US" sz="1100" b="1" i="0" baseline="0">
              <a:effectLst/>
              <a:latin typeface="+mn-lt"/>
              <a:ea typeface="+mn-ea"/>
              <a:cs typeface="+mn-cs"/>
            </a:rPr>
            <a:t>AND </a:t>
          </a:r>
          <a:r>
            <a:rPr lang="en-US" sz="1100" b="0" i="0" baseline="0">
              <a:effectLst/>
              <a:latin typeface="+mn-lt"/>
              <a:ea typeface="+mn-ea"/>
              <a:cs typeface="+mn-cs"/>
            </a:rPr>
            <a:t>are listed as "Minor" in the D79 column on the PCS_Report tab.</a:t>
          </a:r>
          <a:endParaRPr lang="en-US">
            <a:effectLst/>
          </a:endParaRPr>
        </a:p>
        <a:p>
          <a:pPr eaLnBrk="1" fontAlgn="auto" latinLnBrk="0" hangingPunct="1"/>
          <a:r>
            <a:rPr lang="en-US" sz="1100" b="0" i="0" baseline="0">
              <a:effectLst/>
              <a:latin typeface="+mn-lt"/>
              <a:ea typeface="+mn-ea"/>
              <a:cs typeface="+mn-cs"/>
            </a:rPr>
            <a:t>	In order to be considered "Minor", the recorded count for that species must be &lt;0.15) of the total recorded count of species.</a:t>
          </a:r>
        </a:p>
        <a:p>
          <a:pPr eaLnBrk="1" fontAlgn="auto" latinLnBrk="0" hangingPunct="1"/>
          <a:r>
            <a:rPr lang="en-US" b="1">
              <a:effectLst/>
            </a:rPr>
            <a:t>Minor Des. Functional Groups: </a:t>
          </a:r>
          <a:r>
            <a:rPr lang="en-US" sz="1100" b="0">
              <a:effectLst/>
              <a:latin typeface="+mn-lt"/>
              <a:ea typeface="+mn-ea"/>
              <a:cs typeface="+mn-cs"/>
            </a:rPr>
            <a:t>This is the count or percentage of recorded</a:t>
          </a:r>
          <a:r>
            <a:rPr lang="en-US" sz="1100" b="0" baseline="0">
              <a:effectLst/>
              <a:latin typeface="+mn-lt"/>
              <a:ea typeface="+mn-ea"/>
              <a:cs typeface="+mn-cs"/>
            </a:rPr>
            <a:t> species that are listed as </a:t>
          </a:r>
          <a:r>
            <a:rPr lang="en-US" sz="1100" b="1" baseline="0">
              <a:effectLst/>
              <a:latin typeface="+mn-lt"/>
              <a:ea typeface="+mn-ea"/>
              <a:cs typeface="+mn-cs"/>
            </a:rPr>
            <a:t>"Desirable" </a:t>
          </a:r>
          <a:r>
            <a:rPr lang="en-US" sz="1100" b="0" i="0" baseline="0">
              <a:effectLst/>
              <a:latin typeface="+mn-lt"/>
              <a:ea typeface="+mn-ea"/>
              <a:cs typeface="+mn-cs"/>
            </a:rPr>
            <a:t>in the Cattle preference column on the Form_Reference tab </a:t>
          </a:r>
          <a:r>
            <a:rPr lang="en-US" sz="1100" b="1" i="0" baseline="0">
              <a:effectLst/>
              <a:latin typeface="+mn-lt"/>
              <a:ea typeface="+mn-ea"/>
              <a:cs typeface="+mn-cs"/>
            </a:rPr>
            <a:t>AND </a:t>
          </a:r>
          <a:r>
            <a:rPr lang="en-US" sz="1100" b="0" i="0" baseline="0">
              <a:effectLst/>
              <a:latin typeface="+mn-lt"/>
              <a:ea typeface="+mn-ea"/>
              <a:cs typeface="+mn-cs"/>
            </a:rPr>
            <a:t>are listed as "Minor" in the D79 column on the PCS_Report tab.</a:t>
          </a:r>
          <a:endParaRPr lang="en-US">
            <a:effectLst/>
          </a:endParaRPr>
        </a:p>
        <a:p>
          <a:pPr eaLnBrk="1" fontAlgn="auto" latinLnBrk="0" hangingPunct="1"/>
          <a:r>
            <a:rPr lang="en-US" sz="1100" b="0" i="0" baseline="0">
              <a:effectLst/>
              <a:latin typeface="+mn-lt"/>
              <a:ea typeface="+mn-ea"/>
              <a:cs typeface="+mn-cs"/>
            </a:rPr>
            <a:t>	In order to be considered "Minor", the recorded count for that species must be (&lt;0.15) of the total recorded count of species </a:t>
          </a:r>
          <a:r>
            <a:rPr lang="en-US" sz="1100" b="1" i="0" baseline="0">
              <a:effectLst/>
              <a:latin typeface="+mn-lt"/>
              <a:ea typeface="+mn-ea"/>
              <a:cs typeface="+mn-cs"/>
            </a:rPr>
            <a:t>AND </a:t>
          </a:r>
          <a:r>
            <a:rPr lang="en-US" sz="1100" b="0" i="0" baseline="0">
              <a:effectLst/>
              <a:latin typeface="+mn-lt"/>
              <a:ea typeface="+mn-ea"/>
              <a:cs typeface="+mn-cs"/>
            </a:rPr>
            <a:t>are listed as the functional groups </a:t>
          </a:r>
          <a:r>
            <a:rPr lang="en-US" sz="1100" b="1" i="0" baseline="0">
              <a:effectLst/>
              <a:latin typeface="+mn-lt"/>
              <a:ea typeface="+mn-ea"/>
              <a:cs typeface="+mn-cs"/>
            </a:rPr>
            <a:t>(CSGrass, WSGrass, Legume or Forb) </a:t>
          </a:r>
          <a:r>
            <a:rPr lang="en-US" sz="1100" b="0" i="0" baseline="0">
              <a:effectLst/>
              <a:latin typeface="+mn-lt"/>
              <a:ea typeface="+mn-ea"/>
              <a:cs typeface="+mn-cs"/>
            </a:rPr>
            <a:t>in the Functional Groups column on the Form_Reference tab.</a:t>
          </a:r>
          <a:endParaRPr lang="en-US">
            <a:effectLst/>
          </a:endParaRPr>
        </a:p>
        <a:p>
          <a:pPr eaLnBrk="1" fontAlgn="auto" latinLnBrk="0" hangingPunct="1"/>
          <a:endParaRPr lang="en-US" b="1">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b="1">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527285</xdr:colOff>
      <xdr:row>21</xdr:row>
      <xdr:rowOff>35119</xdr:rowOff>
    </xdr:from>
    <xdr:to>
      <xdr:col>5</xdr:col>
      <xdr:colOff>527282</xdr:colOff>
      <xdr:row>22</xdr:row>
      <xdr:rowOff>28550</xdr:rowOff>
    </xdr:to>
    <xdr:sp macro="[0]!CopyFormData" textlink="">
      <xdr:nvSpPr>
        <xdr:cNvPr id="7" name="Rectangle 6">
          <a:extLst>
            <a:ext uri="{FF2B5EF4-FFF2-40B4-BE49-F238E27FC236}">
              <a16:creationId xmlns:a16="http://schemas.microsoft.com/office/drawing/2014/main" id="{C9BBD0B8-750E-D67D-E5F6-7B2E5149A7F6}"/>
            </a:ext>
          </a:extLst>
        </xdr:cNvPr>
        <xdr:cNvSpPr/>
      </xdr:nvSpPr>
      <xdr:spPr>
        <a:xfrm>
          <a:off x="1597016" y="4563157"/>
          <a:ext cx="1604593" cy="242547"/>
        </a:xfrm>
        <a:prstGeom prst="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Copy Data to Table</a:t>
          </a:r>
        </a:p>
      </xdr:txBody>
    </xdr:sp>
    <xdr:clientData fPrintsWithSheet="0"/>
  </xdr:twoCellAnchor>
  <xdr:twoCellAnchor editAs="absolute">
    <xdr:from>
      <xdr:col>10</xdr:col>
      <xdr:colOff>97549</xdr:colOff>
      <xdr:row>1</xdr:row>
      <xdr:rowOff>16948</xdr:rowOff>
    </xdr:from>
    <xdr:to>
      <xdr:col>10</xdr:col>
      <xdr:colOff>430923</xdr:colOff>
      <xdr:row>3</xdr:row>
      <xdr:rowOff>28730</xdr:rowOff>
    </xdr:to>
    <xdr:pic>
      <xdr:nvPicPr>
        <xdr:cNvPr id="3" name="Picture 2">
          <a:extLst>
            <a:ext uri="{FF2B5EF4-FFF2-40B4-BE49-F238E27FC236}">
              <a16:creationId xmlns:a16="http://schemas.microsoft.com/office/drawing/2014/main" id="{B20B37DF-086D-A62D-BC63-6EA8D5D16AC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38118" y="181172"/>
          <a:ext cx="333374" cy="340230"/>
        </a:xfrm>
        <a:prstGeom prst="rect">
          <a:avLst/>
        </a:prstGeom>
      </xdr:spPr>
    </xdr:pic>
    <xdr:clientData/>
  </xdr:twoCellAnchor>
  <xdr:twoCellAnchor editAs="absolute">
    <xdr:from>
      <xdr:col>0</xdr:col>
      <xdr:colOff>83426</xdr:colOff>
      <xdr:row>1</xdr:row>
      <xdr:rowOff>20036</xdr:rowOff>
    </xdr:from>
    <xdr:to>
      <xdr:col>1</xdr:col>
      <xdr:colOff>18446</xdr:colOff>
      <xdr:row>3</xdr:row>
      <xdr:rowOff>17737</xdr:rowOff>
    </xdr:to>
    <xdr:pic>
      <xdr:nvPicPr>
        <xdr:cNvPr id="8" name="Picture 7">
          <a:extLst>
            <a:ext uri="{FF2B5EF4-FFF2-40B4-BE49-F238E27FC236}">
              <a16:creationId xmlns:a16="http://schemas.microsoft.com/office/drawing/2014/main" id="{992FC8BF-0AB7-EC0F-7F86-3971B34AD45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426" y="184260"/>
          <a:ext cx="467106" cy="326149"/>
        </a:xfrm>
        <a:prstGeom prst="rect">
          <a:avLst/>
        </a:prstGeom>
      </xdr:spPr>
    </xdr:pic>
    <xdr:clientData/>
  </xdr:twoCellAnchor>
  <xdr:twoCellAnchor>
    <xdr:from>
      <xdr:col>0</xdr:col>
      <xdr:colOff>9525</xdr:colOff>
      <xdr:row>5</xdr:row>
      <xdr:rowOff>0</xdr:rowOff>
    </xdr:from>
    <xdr:to>
      <xdr:col>11</xdr:col>
      <xdr:colOff>9525</xdr:colOff>
      <xdr:row>5</xdr:row>
      <xdr:rowOff>9525</xdr:rowOff>
    </xdr:to>
    <xdr:cxnSp macro="">
      <xdr:nvCxnSpPr>
        <xdr:cNvPr id="10" name="Straight Connector 9">
          <a:extLst>
            <a:ext uri="{FF2B5EF4-FFF2-40B4-BE49-F238E27FC236}">
              <a16:creationId xmlns:a16="http://schemas.microsoft.com/office/drawing/2014/main" id="{0290357F-3477-807D-10E7-98187E3D466F}"/>
            </a:ext>
          </a:extLst>
        </xdr:cNvPr>
        <xdr:cNvCxnSpPr/>
      </xdr:nvCxnSpPr>
      <xdr:spPr>
        <a:xfrm flipV="1">
          <a:off x="9525" y="809625"/>
          <a:ext cx="5867400" cy="9525"/>
        </a:xfrm>
        <a:prstGeom prst="line">
          <a:avLst/>
        </a:prstGeom>
        <a:ln w="28575"/>
      </xdr:spPr>
      <xdr:style>
        <a:lnRef idx="1">
          <a:schemeClr val="accent3"/>
        </a:lnRef>
        <a:fillRef idx="0">
          <a:schemeClr val="accent3"/>
        </a:fillRef>
        <a:effectRef idx="0">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0</xdr:col>
          <xdr:colOff>69850</xdr:colOff>
          <xdr:row>11</xdr:row>
          <xdr:rowOff>19050</xdr:rowOff>
        </xdr:from>
        <xdr:to>
          <xdr:col>3</xdr:col>
          <xdr:colOff>203200</xdr:colOff>
          <xdr:row>14</xdr:row>
          <xdr:rowOff>222250</xdr:rowOff>
        </xdr:to>
        <xdr:sp macro="" textlink="">
          <xdr:nvSpPr>
            <xdr:cNvPr id="6154" name="CheckList"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11</xdr:row>
          <xdr:rowOff>31750</xdr:rowOff>
        </xdr:from>
        <xdr:to>
          <xdr:col>6</xdr:col>
          <xdr:colOff>476250</xdr:colOff>
          <xdr:row>12</xdr:row>
          <xdr:rowOff>25400</xdr:rowOff>
        </xdr:to>
        <xdr:sp macro="" textlink="">
          <xdr:nvSpPr>
            <xdr:cNvPr id="6155" name="OptionButton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12</xdr:row>
          <xdr:rowOff>31750</xdr:rowOff>
        </xdr:from>
        <xdr:to>
          <xdr:col>6</xdr:col>
          <xdr:colOff>476250</xdr:colOff>
          <xdr:row>13</xdr:row>
          <xdr:rowOff>25400</xdr:rowOff>
        </xdr:to>
        <xdr:sp macro="" textlink="">
          <xdr:nvSpPr>
            <xdr:cNvPr id="6156" name="OptionButton2"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13</xdr:row>
          <xdr:rowOff>38100</xdr:rowOff>
        </xdr:from>
        <xdr:to>
          <xdr:col>6</xdr:col>
          <xdr:colOff>476250</xdr:colOff>
          <xdr:row>14</xdr:row>
          <xdr:rowOff>31750</xdr:rowOff>
        </xdr:to>
        <xdr:sp macro="" textlink="">
          <xdr:nvSpPr>
            <xdr:cNvPr id="6157" name="OptionButton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31750</xdr:colOff>
          <xdr:row>11</xdr:row>
          <xdr:rowOff>31750</xdr:rowOff>
        </xdr:from>
        <xdr:to>
          <xdr:col>10</xdr:col>
          <xdr:colOff>431800</xdr:colOff>
          <xdr:row>12</xdr:row>
          <xdr:rowOff>25400</xdr:rowOff>
        </xdr:to>
        <xdr:sp macro="" textlink="">
          <xdr:nvSpPr>
            <xdr:cNvPr id="6158" name="OptionButton4" hidden="1">
              <a:extLst>
                <a:ext uri="{63B3BB69-23CF-44E3-9099-C40C66FF867C}">
                  <a14:compatExt spid="_x0000_s6158"/>
                </a:ext>
                <a:ext uri="{FF2B5EF4-FFF2-40B4-BE49-F238E27FC236}">
                  <a16:creationId xmlns:a16="http://schemas.microsoft.com/office/drawing/2014/main" id="{00000000-0008-0000-01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31750</xdr:colOff>
          <xdr:row>12</xdr:row>
          <xdr:rowOff>38100</xdr:rowOff>
        </xdr:from>
        <xdr:to>
          <xdr:col>10</xdr:col>
          <xdr:colOff>431800</xdr:colOff>
          <xdr:row>13</xdr:row>
          <xdr:rowOff>31750</xdr:rowOff>
        </xdr:to>
        <xdr:sp macro="" textlink="">
          <xdr:nvSpPr>
            <xdr:cNvPr id="6159" name="OptionButton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31750</xdr:colOff>
          <xdr:row>13</xdr:row>
          <xdr:rowOff>38100</xdr:rowOff>
        </xdr:from>
        <xdr:to>
          <xdr:col>10</xdr:col>
          <xdr:colOff>431800</xdr:colOff>
          <xdr:row>14</xdr:row>
          <xdr:rowOff>31750</xdr:rowOff>
        </xdr:to>
        <xdr:sp macro="" textlink="">
          <xdr:nvSpPr>
            <xdr:cNvPr id="6160" name="OptionButton6" hidden="1">
              <a:extLst>
                <a:ext uri="{63B3BB69-23CF-44E3-9099-C40C66FF867C}">
                  <a14:compatExt spid="_x0000_s6160"/>
                </a:ext>
                <a:ext uri="{FF2B5EF4-FFF2-40B4-BE49-F238E27FC236}">
                  <a16:creationId xmlns:a16="http://schemas.microsoft.com/office/drawing/2014/main" id="{00000000-0008-0000-0100-00001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72258</xdr:colOff>
      <xdr:row>15</xdr:row>
      <xdr:rowOff>4953</xdr:rowOff>
    </xdr:from>
    <xdr:to>
      <xdr:col>3</xdr:col>
      <xdr:colOff>183930</xdr:colOff>
      <xdr:row>15</xdr:row>
      <xdr:rowOff>236483</xdr:rowOff>
    </xdr:to>
    <xdr:sp macro="[0]!Button_Click" textlink="">
      <xdr:nvSpPr>
        <xdr:cNvPr id="2" name="Rectangle 1">
          <a:extLst>
            <a:ext uri="{FF2B5EF4-FFF2-40B4-BE49-F238E27FC236}">
              <a16:creationId xmlns:a16="http://schemas.microsoft.com/office/drawing/2014/main" id="{5A34E471-3378-F38A-F28C-864CE2515BC0}"/>
            </a:ext>
          </a:extLst>
        </xdr:cNvPr>
        <xdr:cNvSpPr/>
      </xdr:nvSpPr>
      <xdr:spPr>
        <a:xfrm>
          <a:off x="72258" y="3374832"/>
          <a:ext cx="1707931" cy="231530"/>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l"/>
          <a:r>
            <a:rPr lang="en-US" sz="1100">
              <a:solidFill>
                <a:schemeClr val="tx1"/>
              </a:solidFill>
            </a:rPr>
            <a:t>Click Here (after selection)</a:t>
          </a:r>
          <a:endParaRPr lang="en-US" sz="8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12700</xdr:colOff>
          <xdr:row>17</xdr:row>
          <xdr:rowOff>12700</xdr:rowOff>
        </xdr:from>
        <xdr:to>
          <xdr:col>7</xdr:col>
          <xdr:colOff>546100</xdr:colOff>
          <xdr:row>18</xdr:row>
          <xdr:rowOff>6350</xdr:rowOff>
        </xdr:to>
        <xdr:sp macro="" textlink="">
          <xdr:nvSpPr>
            <xdr:cNvPr id="6162" name="OptionButton7"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xdr:colOff>
          <xdr:row>17</xdr:row>
          <xdr:rowOff>0</xdr:rowOff>
        </xdr:from>
        <xdr:to>
          <xdr:col>9</xdr:col>
          <xdr:colOff>546100</xdr:colOff>
          <xdr:row>17</xdr:row>
          <xdr:rowOff>247650</xdr:rowOff>
        </xdr:to>
        <xdr:sp macro="" textlink="">
          <xdr:nvSpPr>
            <xdr:cNvPr id="6163" name="OptionButton8" hidden="1">
              <a:extLst>
                <a:ext uri="{63B3BB69-23CF-44E3-9099-C40C66FF867C}">
                  <a14:compatExt spid="_x0000_s6163"/>
                </a:ext>
                <a:ext uri="{FF2B5EF4-FFF2-40B4-BE49-F238E27FC236}">
                  <a16:creationId xmlns:a16="http://schemas.microsoft.com/office/drawing/2014/main" id="{00000000-0008-0000-0100-00001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444922</xdr:colOff>
      <xdr:row>7</xdr:row>
      <xdr:rowOff>93734</xdr:rowOff>
    </xdr:from>
    <xdr:to>
      <xdr:col>14</xdr:col>
      <xdr:colOff>394806</xdr:colOff>
      <xdr:row>8</xdr:row>
      <xdr:rowOff>74533</xdr:rowOff>
    </xdr:to>
    <xdr:sp macro="[0]!ResetFormandTable" textlink="">
      <xdr:nvSpPr>
        <xdr:cNvPr id="5" name="Rectangle 4">
          <a:extLst>
            <a:ext uri="{FF2B5EF4-FFF2-40B4-BE49-F238E27FC236}">
              <a16:creationId xmlns:a16="http://schemas.microsoft.com/office/drawing/2014/main" id="{8577E2C1-5BA2-9F4D-16AD-B277DBE762F3}"/>
            </a:ext>
          </a:extLst>
        </xdr:cNvPr>
        <xdr:cNvSpPr/>
      </xdr:nvSpPr>
      <xdr:spPr>
        <a:xfrm>
          <a:off x="6343095" y="1134157"/>
          <a:ext cx="1554480" cy="229914"/>
        </a:xfrm>
        <a:prstGeom prst="rect">
          <a:avLst/>
        </a:prstGeom>
        <a:solidFill>
          <a:srgbClr val="4F81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Reset Form</a:t>
          </a:r>
        </a:p>
      </xdr:txBody>
    </xdr:sp>
    <xdr:clientData fPrintsWithSheet="0"/>
  </xdr:twoCellAnchor>
  <xdr:twoCellAnchor editAs="absolute">
    <xdr:from>
      <xdr:col>7</xdr:col>
      <xdr:colOff>527538</xdr:colOff>
      <xdr:row>21</xdr:row>
      <xdr:rowOff>30989</xdr:rowOff>
    </xdr:from>
    <xdr:to>
      <xdr:col>10</xdr:col>
      <xdr:colOff>527538</xdr:colOff>
      <xdr:row>21</xdr:row>
      <xdr:rowOff>243470</xdr:rowOff>
    </xdr:to>
    <xdr:sp macro="[0]!RefreshReport" textlink="">
      <xdr:nvSpPr>
        <xdr:cNvPr id="4" name="Rectangle 3">
          <a:extLst>
            <a:ext uri="{FF2B5EF4-FFF2-40B4-BE49-F238E27FC236}">
              <a16:creationId xmlns:a16="http://schemas.microsoft.com/office/drawing/2014/main" id="{A76C5BF0-DC41-95CA-8B96-1410A347D0B0}"/>
            </a:ext>
          </a:extLst>
        </xdr:cNvPr>
        <xdr:cNvSpPr/>
      </xdr:nvSpPr>
      <xdr:spPr>
        <a:xfrm>
          <a:off x="4271596" y="4559027"/>
          <a:ext cx="1619250" cy="212481"/>
        </a:xfrm>
        <a:prstGeom prst="rect">
          <a:avLst/>
        </a:prstGeom>
        <a:solidFill>
          <a:schemeClr val="accent6"/>
        </a:solidFill>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bg1"/>
              </a:solidFill>
            </a:rPr>
            <a:t>Refresh Report</a:t>
          </a:r>
        </a:p>
      </xdr:txBody>
    </xdr:sp>
    <xdr:clientData fPrintsWithSheet="0"/>
  </xdr:twoCellAnchor>
  <xdr:twoCellAnchor editAs="absolute">
    <xdr:from>
      <xdr:col>15</xdr:col>
      <xdr:colOff>306265</xdr:colOff>
      <xdr:row>7</xdr:row>
      <xdr:rowOff>77530</xdr:rowOff>
    </xdr:from>
    <xdr:to>
      <xdr:col>18</xdr:col>
      <xdr:colOff>241495</xdr:colOff>
      <xdr:row>8</xdr:row>
      <xdr:rowOff>57015</xdr:rowOff>
    </xdr:to>
    <xdr:sp macro="[0]!DeleteSTEPTableData" textlink="">
      <xdr:nvSpPr>
        <xdr:cNvPr id="9" name="Rectangle 8">
          <a:extLst>
            <a:ext uri="{FF2B5EF4-FFF2-40B4-BE49-F238E27FC236}">
              <a16:creationId xmlns:a16="http://schemas.microsoft.com/office/drawing/2014/main" id="{C219642E-458E-4368-A838-5FEC3EC03634}"/>
            </a:ext>
          </a:extLst>
        </xdr:cNvPr>
        <xdr:cNvSpPr/>
      </xdr:nvSpPr>
      <xdr:spPr>
        <a:xfrm>
          <a:off x="8343900" y="1117953"/>
          <a:ext cx="1554480" cy="228600"/>
        </a:xfrm>
        <a:prstGeom prst="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900" b="1">
              <a:solidFill>
                <a:schemeClr val="bg1"/>
              </a:solidFill>
            </a:rPr>
            <a:t>Delete STEP</a:t>
          </a:r>
          <a:r>
            <a:rPr lang="en-US" sz="900" b="1" baseline="0">
              <a:solidFill>
                <a:schemeClr val="bg1"/>
              </a:solidFill>
            </a:rPr>
            <a:t> Table Data</a:t>
          </a:r>
          <a:endParaRPr lang="en-US" sz="900" b="1">
            <a:solidFill>
              <a:schemeClr val="bg1"/>
            </a:solidFill>
          </a:endParaRPr>
        </a:p>
      </xdr:txBody>
    </xdr:sp>
    <xdr:clientData fPrintsWithSheet="0"/>
  </xdr:twoCellAnchor>
  <xdr:twoCellAnchor editAs="absolute">
    <xdr:from>
      <xdr:col>15</xdr:col>
      <xdr:colOff>304800</xdr:colOff>
      <xdr:row>9</xdr:row>
      <xdr:rowOff>29240</xdr:rowOff>
    </xdr:from>
    <xdr:to>
      <xdr:col>18</xdr:col>
      <xdr:colOff>240030</xdr:colOff>
      <xdr:row>10</xdr:row>
      <xdr:rowOff>8725</xdr:rowOff>
    </xdr:to>
    <xdr:sp macro="[0]!DeleteTableLastRow" textlink="">
      <xdr:nvSpPr>
        <xdr:cNvPr id="6" name="Rectangle 5">
          <a:extLst>
            <a:ext uri="{FF2B5EF4-FFF2-40B4-BE49-F238E27FC236}">
              <a16:creationId xmlns:a16="http://schemas.microsoft.com/office/drawing/2014/main" id="{7A6117AE-8180-41FC-BE8E-FAF755834A0B}"/>
            </a:ext>
          </a:extLst>
        </xdr:cNvPr>
        <xdr:cNvSpPr/>
      </xdr:nvSpPr>
      <xdr:spPr>
        <a:xfrm>
          <a:off x="8342435" y="1567894"/>
          <a:ext cx="1554480" cy="228600"/>
        </a:xfrm>
        <a:prstGeom prst="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900" b="1">
              <a:solidFill>
                <a:schemeClr val="bg1"/>
              </a:solidFill>
            </a:rPr>
            <a:t>Delete STEP</a:t>
          </a:r>
          <a:r>
            <a:rPr lang="en-US" sz="900" b="1" baseline="0">
              <a:solidFill>
                <a:schemeClr val="bg1"/>
              </a:solidFill>
            </a:rPr>
            <a:t> Table - Last Row</a:t>
          </a:r>
          <a:endParaRPr lang="en-US" sz="900" b="1">
            <a:solidFill>
              <a:schemeClr val="bg1"/>
            </a:solidFill>
          </a:endParaRPr>
        </a:p>
      </xdr:txBody>
    </xdr:sp>
    <xdr:clientData fPrintsWithSheet="0"/>
  </xdr:twoCellAnchor>
  <xdr:twoCellAnchor editAs="absolute">
    <xdr:from>
      <xdr:col>15</xdr:col>
      <xdr:colOff>329710</xdr:colOff>
      <xdr:row>10</xdr:row>
      <xdr:rowOff>234458</xdr:rowOff>
    </xdr:from>
    <xdr:to>
      <xdr:col>18</xdr:col>
      <xdr:colOff>264940</xdr:colOff>
      <xdr:row>11</xdr:row>
      <xdr:rowOff>213942</xdr:rowOff>
    </xdr:to>
    <xdr:sp macro="[0]!GoToPCS" textlink="">
      <xdr:nvSpPr>
        <xdr:cNvPr id="11" name="Rectangle 10">
          <a:extLst>
            <a:ext uri="{FF2B5EF4-FFF2-40B4-BE49-F238E27FC236}">
              <a16:creationId xmlns:a16="http://schemas.microsoft.com/office/drawing/2014/main" id="{FFA3BFB8-C858-D456-52D1-B08F36702C0E}"/>
            </a:ext>
          </a:extLst>
        </xdr:cNvPr>
        <xdr:cNvSpPr/>
      </xdr:nvSpPr>
      <xdr:spPr>
        <a:xfrm>
          <a:off x="8367345" y="2022227"/>
          <a:ext cx="1554480" cy="228600"/>
        </a:xfrm>
        <a:prstGeom prst="rect">
          <a:avLst/>
        </a:prstGeom>
        <a:solidFill>
          <a:srgbClr val="4F81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Go To PCS</a:t>
          </a:r>
        </a:p>
      </xdr:txBody>
    </xdr:sp>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1441450</xdr:colOff>
          <xdr:row>5</xdr:row>
          <xdr:rowOff>95250</xdr:rowOff>
        </xdr:from>
        <xdr:to>
          <xdr:col>2</xdr:col>
          <xdr:colOff>1752600</xdr:colOff>
          <xdr:row>6</xdr:row>
          <xdr:rowOff>0</xdr:rowOff>
        </xdr:to>
        <xdr:sp macro="" textlink="">
          <xdr:nvSpPr>
            <xdr:cNvPr id="21505" name="Check Box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1346200</xdr:colOff>
          <xdr:row>5</xdr:row>
          <xdr:rowOff>95250</xdr:rowOff>
        </xdr:from>
        <xdr:to>
          <xdr:col>4</xdr:col>
          <xdr:colOff>1657350</xdr:colOff>
          <xdr:row>6</xdr:row>
          <xdr:rowOff>0</xdr:rowOff>
        </xdr:to>
        <xdr:sp macro="" textlink="">
          <xdr:nvSpPr>
            <xdr:cNvPr id="21506" name="Check Box 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908050</xdr:colOff>
          <xdr:row>5</xdr:row>
          <xdr:rowOff>107950</xdr:rowOff>
        </xdr:from>
        <xdr:to>
          <xdr:col>3</xdr:col>
          <xdr:colOff>1219200</xdr:colOff>
          <xdr:row>5</xdr:row>
          <xdr:rowOff>304800</xdr:rowOff>
        </xdr:to>
        <xdr:sp macro="" textlink="">
          <xdr:nvSpPr>
            <xdr:cNvPr id="21507" name="Check Box 3" hidden="1">
              <a:extLst>
                <a:ext uri="{63B3BB69-23CF-44E3-9099-C40C66FF867C}">
                  <a14:compatExt spid="_x0000_s21507"/>
                </a:ext>
                <a:ext uri="{FF2B5EF4-FFF2-40B4-BE49-F238E27FC236}">
                  <a16:creationId xmlns:a16="http://schemas.microsoft.com/office/drawing/2014/main" id="{00000000-0008-0000-0200-00000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1441450</xdr:colOff>
          <xdr:row>6</xdr:row>
          <xdr:rowOff>95250</xdr:rowOff>
        </xdr:from>
        <xdr:to>
          <xdr:col>2</xdr:col>
          <xdr:colOff>1752600</xdr:colOff>
          <xdr:row>7</xdr:row>
          <xdr:rowOff>0</xdr:rowOff>
        </xdr:to>
        <xdr:sp macro="" textlink="">
          <xdr:nvSpPr>
            <xdr:cNvPr id="21508" name="Check Box 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1346200</xdr:colOff>
          <xdr:row>6</xdr:row>
          <xdr:rowOff>95250</xdr:rowOff>
        </xdr:from>
        <xdr:to>
          <xdr:col>4</xdr:col>
          <xdr:colOff>1657350</xdr:colOff>
          <xdr:row>7</xdr:row>
          <xdr:rowOff>0</xdr:rowOff>
        </xdr:to>
        <xdr:sp macro="" textlink="">
          <xdr:nvSpPr>
            <xdr:cNvPr id="21509" name="Check Box 5" hidden="1">
              <a:extLst>
                <a:ext uri="{63B3BB69-23CF-44E3-9099-C40C66FF867C}">
                  <a14:compatExt spid="_x0000_s21509"/>
                </a:ext>
                <a:ext uri="{FF2B5EF4-FFF2-40B4-BE49-F238E27FC236}">
                  <a16:creationId xmlns:a16="http://schemas.microsoft.com/office/drawing/2014/main" id="{00000000-0008-0000-0200-00000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908050</xdr:colOff>
          <xdr:row>6</xdr:row>
          <xdr:rowOff>107950</xdr:rowOff>
        </xdr:from>
        <xdr:to>
          <xdr:col>3</xdr:col>
          <xdr:colOff>1219200</xdr:colOff>
          <xdr:row>6</xdr:row>
          <xdr:rowOff>304800</xdr:rowOff>
        </xdr:to>
        <xdr:sp macro="" textlink="">
          <xdr:nvSpPr>
            <xdr:cNvPr id="21510" name="Check Box 6" hidden="1">
              <a:extLst>
                <a:ext uri="{63B3BB69-23CF-44E3-9099-C40C66FF867C}">
                  <a14:compatExt spid="_x0000_s21510"/>
                </a:ext>
                <a:ext uri="{FF2B5EF4-FFF2-40B4-BE49-F238E27FC236}">
                  <a16:creationId xmlns:a16="http://schemas.microsoft.com/office/drawing/2014/main" id="{00000000-0008-0000-0200-00000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203200</xdr:colOff>
          <xdr:row>2</xdr:row>
          <xdr:rowOff>431800</xdr:rowOff>
        </xdr:from>
        <xdr:to>
          <xdr:col>15</xdr:col>
          <xdr:colOff>209550</xdr:colOff>
          <xdr:row>6</xdr:row>
          <xdr:rowOff>19050</xdr:rowOff>
        </xdr:to>
        <xdr:sp macro="" textlink="">
          <xdr:nvSpPr>
            <xdr:cNvPr id="21511" name="CommandButton1" hidden="1">
              <a:extLst>
                <a:ext uri="{63B3BB69-23CF-44E3-9099-C40C66FF867C}">
                  <a14:compatExt spid="_x0000_s21511"/>
                </a:ext>
                <a:ext uri="{FF2B5EF4-FFF2-40B4-BE49-F238E27FC236}">
                  <a16:creationId xmlns:a16="http://schemas.microsoft.com/office/drawing/2014/main" id="{00000000-0008-0000-02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6</xdr:col>
      <xdr:colOff>300606</xdr:colOff>
      <xdr:row>0</xdr:row>
      <xdr:rowOff>95250</xdr:rowOff>
    </xdr:from>
    <xdr:to>
      <xdr:col>6</xdr:col>
      <xdr:colOff>633980</xdr:colOff>
      <xdr:row>0</xdr:row>
      <xdr:rowOff>429417</xdr:rowOff>
    </xdr:to>
    <xdr:pic>
      <xdr:nvPicPr>
        <xdr:cNvPr id="2" name="Picture 1">
          <a:extLst>
            <a:ext uri="{FF2B5EF4-FFF2-40B4-BE49-F238E27FC236}">
              <a16:creationId xmlns:a16="http://schemas.microsoft.com/office/drawing/2014/main" id="{0794D7CA-806D-4C93-A900-3A33FAC6034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87131" y="95250"/>
          <a:ext cx="333374" cy="334167"/>
        </a:xfrm>
        <a:prstGeom prst="rect">
          <a:avLst/>
        </a:prstGeom>
      </xdr:spPr>
    </xdr:pic>
    <xdr:clientData/>
  </xdr:twoCellAnchor>
  <xdr:twoCellAnchor editAs="absolute">
    <xdr:from>
      <xdr:col>0</xdr:col>
      <xdr:colOff>142875</xdr:colOff>
      <xdr:row>0</xdr:row>
      <xdr:rowOff>98338</xdr:rowOff>
    </xdr:from>
    <xdr:to>
      <xdr:col>0</xdr:col>
      <xdr:colOff>612760</xdr:colOff>
      <xdr:row>0</xdr:row>
      <xdr:rowOff>418424</xdr:rowOff>
    </xdr:to>
    <xdr:pic>
      <xdr:nvPicPr>
        <xdr:cNvPr id="3" name="Picture 2">
          <a:extLst>
            <a:ext uri="{FF2B5EF4-FFF2-40B4-BE49-F238E27FC236}">
              <a16:creationId xmlns:a16="http://schemas.microsoft.com/office/drawing/2014/main" id="{4F772500-6F3B-4F86-A515-3BC6BC28B3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2875" y="98338"/>
          <a:ext cx="469885" cy="320086"/>
        </a:xfrm>
        <a:prstGeom prst="rect">
          <a:avLst/>
        </a:prstGeom>
      </xdr:spPr>
    </xdr:pic>
    <xdr:clientData/>
  </xdr:twoCellAnchor>
  <xdr:twoCellAnchor>
    <xdr:from>
      <xdr:col>8</xdr:col>
      <xdr:colOff>142875</xdr:colOff>
      <xdr:row>7</xdr:row>
      <xdr:rowOff>171450</xdr:rowOff>
    </xdr:from>
    <xdr:to>
      <xdr:col>9</xdr:col>
      <xdr:colOff>276225</xdr:colOff>
      <xdr:row>8</xdr:row>
      <xdr:rowOff>266700</xdr:rowOff>
    </xdr:to>
    <xdr:sp macro="[0]!ClearPCSscores" textlink="">
      <xdr:nvSpPr>
        <xdr:cNvPr id="4" name="Rectangle 3">
          <a:extLst>
            <a:ext uri="{FF2B5EF4-FFF2-40B4-BE49-F238E27FC236}">
              <a16:creationId xmlns:a16="http://schemas.microsoft.com/office/drawing/2014/main" id="{956B7EF0-4AA9-2EF9-DA0B-52DB87DF3472}"/>
            </a:ext>
          </a:extLst>
        </xdr:cNvPr>
        <xdr:cNvSpPr/>
      </xdr:nvSpPr>
      <xdr:spPr>
        <a:xfrm>
          <a:off x="8077200" y="1838325"/>
          <a:ext cx="1924050" cy="285750"/>
        </a:xfrm>
        <a:prstGeom prst="rect">
          <a:avLst/>
        </a:prstGeom>
        <a:solidFill>
          <a:schemeClr val="accent1"/>
        </a:solidFill>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en-US" sz="1100" b="1"/>
            <a:t>Clear Scores</a:t>
          </a:r>
        </a:p>
      </xdr:txBody>
    </xdr:sp>
    <xdr:clientData/>
  </xdr:twoCellAnchor>
  <xdr:twoCellAnchor>
    <xdr:from>
      <xdr:col>8</xdr:col>
      <xdr:colOff>76200</xdr:colOff>
      <xdr:row>34</xdr:row>
      <xdr:rowOff>57150</xdr:rowOff>
    </xdr:from>
    <xdr:to>
      <xdr:col>9</xdr:col>
      <xdr:colOff>28575</xdr:colOff>
      <xdr:row>35</xdr:row>
      <xdr:rowOff>57150</xdr:rowOff>
    </xdr:to>
    <xdr:sp macro="[0]!GoToPCSreport" textlink="">
      <xdr:nvSpPr>
        <xdr:cNvPr id="5" name="Rectangle 4">
          <a:extLst>
            <a:ext uri="{FF2B5EF4-FFF2-40B4-BE49-F238E27FC236}">
              <a16:creationId xmlns:a16="http://schemas.microsoft.com/office/drawing/2014/main" id="{9B2940D6-A69F-E845-EAD6-77799CA654E0}"/>
            </a:ext>
          </a:extLst>
        </xdr:cNvPr>
        <xdr:cNvSpPr/>
      </xdr:nvSpPr>
      <xdr:spPr>
        <a:xfrm>
          <a:off x="8010525" y="18411825"/>
          <a:ext cx="1743075" cy="285750"/>
        </a:xfrm>
        <a:prstGeom prst="rect">
          <a:avLst/>
        </a:prstGeom>
        <a:solidFill>
          <a:schemeClr val="accent1"/>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100" b="1"/>
            <a:t>Go</a:t>
          </a:r>
          <a:r>
            <a:rPr lang="en-US" sz="1100" b="1" baseline="0"/>
            <a:t> to PCS Report</a:t>
          </a:r>
          <a:endParaRPr lang="en-US" sz="1100" b="1"/>
        </a:p>
      </xdr:txBody>
    </xdr:sp>
    <xdr:clientData/>
  </xdr:twoCellAnchor>
  <xdr:twoCellAnchor>
    <xdr:from>
      <xdr:col>8</xdr:col>
      <xdr:colOff>152400</xdr:colOff>
      <xdr:row>8</xdr:row>
      <xdr:rowOff>361950</xdr:rowOff>
    </xdr:from>
    <xdr:to>
      <xdr:col>9</xdr:col>
      <xdr:colOff>276225</xdr:colOff>
      <xdr:row>8</xdr:row>
      <xdr:rowOff>752475</xdr:rowOff>
    </xdr:to>
    <xdr:sp macro="" textlink="">
      <xdr:nvSpPr>
        <xdr:cNvPr id="6" name="Rectangle 5">
          <a:extLst>
            <a:ext uri="{FF2B5EF4-FFF2-40B4-BE49-F238E27FC236}">
              <a16:creationId xmlns:a16="http://schemas.microsoft.com/office/drawing/2014/main" id="{54CAD970-C85F-0F59-133A-8E1BBF43FBD5}"/>
            </a:ext>
          </a:extLst>
        </xdr:cNvPr>
        <xdr:cNvSpPr/>
      </xdr:nvSpPr>
      <xdr:spPr>
        <a:xfrm>
          <a:off x="8086725" y="2219325"/>
          <a:ext cx="1914525" cy="390525"/>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Do Not</a:t>
          </a:r>
          <a:r>
            <a:rPr lang="en-US" sz="1100" b="1" baseline="0"/>
            <a:t> Touch</a:t>
          </a:r>
          <a:endParaRPr lang="en-US" sz="1100" b="1"/>
        </a:p>
      </xdr:txBody>
    </xdr:sp>
    <xdr:clientData/>
  </xdr:twoCellAnchor>
  <xdr:twoCellAnchor>
    <xdr:from>
      <xdr:col>8</xdr:col>
      <xdr:colOff>152400</xdr:colOff>
      <xdr:row>8</xdr:row>
      <xdr:rowOff>800100</xdr:rowOff>
    </xdr:from>
    <xdr:to>
      <xdr:col>9</xdr:col>
      <xdr:colOff>276225</xdr:colOff>
      <xdr:row>8</xdr:row>
      <xdr:rowOff>1190625</xdr:rowOff>
    </xdr:to>
    <xdr:sp macro="" textlink="">
      <xdr:nvSpPr>
        <xdr:cNvPr id="7" name="Rectangle 6">
          <a:extLst>
            <a:ext uri="{FF2B5EF4-FFF2-40B4-BE49-F238E27FC236}">
              <a16:creationId xmlns:a16="http://schemas.microsoft.com/office/drawing/2014/main" id="{EBB1877A-F9E7-4BA1-9C60-8F2C460D3B3E}"/>
            </a:ext>
          </a:extLst>
        </xdr:cNvPr>
        <xdr:cNvSpPr/>
      </xdr:nvSpPr>
      <xdr:spPr>
        <a:xfrm>
          <a:off x="8086725" y="2657475"/>
          <a:ext cx="1914525" cy="390525"/>
        </a:xfrm>
        <a:prstGeom prst="rect">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Manually score in white boxes</a:t>
          </a:r>
        </a:p>
      </xdr:txBody>
    </xdr:sp>
    <xdr:clientData/>
  </xdr:twoCellAnchor>
  <xdr:twoCellAnchor>
    <xdr:from>
      <xdr:col>8</xdr:col>
      <xdr:colOff>152400</xdr:colOff>
      <xdr:row>8</xdr:row>
      <xdr:rowOff>1247775</xdr:rowOff>
    </xdr:from>
    <xdr:to>
      <xdr:col>9</xdr:col>
      <xdr:colOff>276225</xdr:colOff>
      <xdr:row>9</xdr:row>
      <xdr:rowOff>419100</xdr:rowOff>
    </xdr:to>
    <xdr:sp macro="" textlink="">
      <xdr:nvSpPr>
        <xdr:cNvPr id="8" name="Rectangle 7">
          <a:extLst>
            <a:ext uri="{FF2B5EF4-FFF2-40B4-BE49-F238E27FC236}">
              <a16:creationId xmlns:a16="http://schemas.microsoft.com/office/drawing/2014/main" id="{14F2F54D-9143-4852-BFF2-7D9E666E5B2D}"/>
            </a:ext>
          </a:extLst>
        </xdr:cNvPr>
        <xdr:cNvSpPr/>
      </xdr:nvSpPr>
      <xdr:spPr>
        <a:xfrm>
          <a:off x="8086725" y="3105150"/>
          <a:ext cx="1914525" cy="438150"/>
        </a:xfrm>
        <a:prstGeom prst="rect">
          <a:avLst/>
        </a:prstGeom>
        <a:solidFill>
          <a:schemeClr val="accent6"/>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If STEP is used -  Scores are Auto-Calculated</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279989</xdr:colOff>
      <xdr:row>1</xdr:row>
      <xdr:rowOff>101098</xdr:rowOff>
    </xdr:from>
    <xdr:to>
      <xdr:col>9</xdr:col>
      <xdr:colOff>190944</xdr:colOff>
      <xdr:row>3</xdr:row>
      <xdr:rowOff>111415</xdr:rowOff>
    </xdr:to>
    <xdr:pic>
      <xdr:nvPicPr>
        <xdr:cNvPr id="5" name="Picture 4">
          <a:extLst>
            <a:ext uri="{FF2B5EF4-FFF2-40B4-BE49-F238E27FC236}">
              <a16:creationId xmlns:a16="http://schemas.microsoft.com/office/drawing/2014/main" id="{566D9296-149B-4504-A6A1-1CEC1ACDAD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61588" y="259848"/>
          <a:ext cx="332060" cy="327817"/>
        </a:xfrm>
        <a:prstGeom prst="rect">
          <a:avLst/>
        </a:prstGeom>
      </xdr:spPr>
    </xdr:pic>
    <xdr:clientData/>
  </xdr:twoCellAnchor>
  <xdr:twoCellAnchor editAs="absolute">
    <xdr:from>
      <xdr:col>1</xdr:col>
      <xdr:colOff>638175</xdr:colOff>
      <xdr:row>1</xdr:row>
      <xdr:rowOff>64081</xdr:rowOff>
    </xdr:from>
    <xdr:to>
      <xdr:col>1</xdr:col>
      <xdr:colOff>1106746</xdr:colOff>
      <xdr:row>3</xdr:row>
      <xdr:rowOff>60317</xdr:rowOff>
    </xdr:to>
    <xdr:pic>
      <xdr:nvPicPr>
        <xdr:cNvPr id="6" name="Picture 5">
          <a:extLst>
            <a:ext uri="{FF2B5EF4-FFF2-40B4-BE49-F238E27FC236}">
              <a16:creationId xmlns:a16="http://schemas.microsoft.com/office/drawing/2014/main" id="{2D3CF426-1183-4366-B0FB-C5B3085A0FF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50570" y="224502"/>
          <a:ext cx="468571" cy="317078"/>
        </a:xfrm>
        <a:prstGeom prst="rect">
          <a:avLst/>
        </a:prstGeom>
      </xdr:spPr>
    </xdr:pic>
    <xdr:clientData/>
  </xdr:twoCellAnchor>
  <xdr:twoCellAnchor>
    <xdr:from>
      <xdr:col>5</xdr:col>
      <xdr:colOff>60158</xdr:colOff>
      <xdr:row>41</xdr:row>
      <xdr:rowOff>20054</xdr:rowOff>
    </xdr:from>
    <xdr:to>
      <xdr:col>12</xdr:col>
      <xdr:colOff>15039</xdr:colOff>
      <xdr:row>52</xdr:row>
      <xdr:rowOff>172954</xdr:rowOff>
    </xdr:to>
    <xdr:graphicFrame macro="">
      <xdr:nvGraphicFramePr>
        <xdr:cNvPr id="2" name="Chart 1">
          <a:extLst>
            <a:ext uri="{FF2B5EF4-FFF2-40B4-BE49-F238E27FC236}">
              <a16:creationId xmlns:a16="http://schemas.microsoft.com/office/drawing/2014/main" id="{D767C9C4-31FC-DD1F-408B-0DF69FDF5E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20053</xdr:colOff>
      <xdr:row>59</xdr:row>
      <xdr:rowOff>42111</xdr:rowOff>
    </xdr:from>
    <xdr:to>
      <xdr:col>3</xdr:col>
      <xdr:colOff>0</xdr:colOff>
      <xdr:row>69</xdr:row>
      <xdr:rowOff>160420</xdr:rowOff>
    </xdr:to>
    <xdr:graphicFrame macro="">
      <xdr:nvGraphicFramePr>
        <xdr:cNvPr id="14" name="Chart 13">
          <a:extLst>
            <a:ext uri="{FF2B5EF4-FFF2-40B4-BE49-F238E27FC236}">
              <a16:creationId xmlns:a16="http://schemas.microsoft.com/office/drawing/2014/main" id="{1BCE4798-3ECB-6A14-93F3-0DDF774A5A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70185</xdr:colOff>
      <xdr:row>59</xdr:row>
      <xdr:rowOff>22058</xdr:rowOff>
    </xdr:from>
    <xdr:to>
      <xdr:col>6</xdr:col>
      <xdr:colOff>701843</xdr:colOff>
      <xdr:row>69</xdr:row>
      <xdr:rowOff>170448</xdr:rowOff>
    </xdr:to>
    <xdr:graphicFrame macro="">
      <xdr:nvGraphicFramePr>
        <xdr:cNvPr id="18" name="Chart 17">
          <a:extLst>
            <a:ext uri="{FF2B5EF4-FFF2-40B4-BE49-F238E27FC236}">
              <a16:creationId xmlns:a16="http://schemas.microsoft.com/office/drawing/2014/main" id="{EF0A6345-DAAA-6639-9536-6C3B94DAA5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782053</xdr:colOff>
      <xdr:row>59</xdr:row>
      <xdr:rowOff>12032</xdr:rowOff>
    </xdr:from>
    <xdr:to>
      <xdr:col>11</xdr:col>
      <xdr:colOff>721895</xdr:colOff>
      <xdr:row>69</xdr:row>
      <xdr:rowOff>170448</xdr:rowOff>
    </xdr:to>
    <xdr:graphicFrame macro="">
      <xdr:nvGraphicFramePr>
        <xdr:cNvPr id="21" name="Chart 20">
          <a:extLst>
            <a:ext uri="{FF2B5EF4-FFF2-40B4-BE49-F238E27FC236}">
              <a16:creationId xmlns:a16="http://schemas.microsoft.com/office/drawing/2014/main" id="{C62E3033-4EF6-8B40-B89E-FC895139E2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G_Backup\1_Resources\PCS\Working\PCS_Step%20Point%20Worksheet_2020_working_02262025.xlsm" TargetMode="External"/><Relationship Id="rId1" Type="http://schemas.openxmlformats.org/officeDocument/2006/relationships/externalLinkPath" Target="file:///D:\G_Backup\1_Resources\PCS\Working\PCS_Step%20Point%20Worksheet_2020_working_022620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Form"/>
      <sheetName val="PCSS"/>
      <sheetName val="PCS"/>
      <sheetName val="PCS_Report"/>
      <sheetName val="Form_Reference"/>
      <sheetName val="Form_Data"/>
    </sheetNames>
    <sheetDataSet>
      <sheetData sheetId="0"/>
      <sheetData sheetId="1"/>
      <sheetData sheetId="2"/>
      <sheetData sheetId="3"/>
      <sheetData sheetId="4"/>
      <sheetData sheetId="5"/>
      <sheetData sheetId="6"/>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imothy Gilbert" refreshedDate="45798.587751620369" backgroundQuery="1" createdVersion="8" refreshedVersion="8" minRefreshableVersion="3" recordCount="0" supportSubquery="1" supportAdvancedDrill="1" xr:uid="{6493D7B1-12AC-4F57-9696-80DDD92EE701}">
  <cacheSource type="external" connectionId="1"/>
  <cacheFields count="1">
    <cacheField name="[Table1].[Record Step Sample].[Record Step Sample]" caption="Record Step Sample" numFmtId="0" hierarchy="14" level="1">
      <sharedItems count="2">
        <s v=""/>
        <s v="Timothy"/>
      </sharedItems>
    </cacheField>
  </cacheFields>
  <cacheHierarchies count="39">
    <cacheHierarchy uniqueName="[Table1].[ID]" caption="ID" attribute="1" defaultMemberUniqueName="[Table1].[ID].[All]" allUniqueName="[Table1].[ID].[All]" dimensionUniqueName="[Table1]" displayFolder="" count="0" memberValueDatatype="20" unbalanced="0"/>
    <cacheHierarchy uniqueName="[Table1].[Evaluator]" caption="Evaluator" attribute="1" defaultMemberUniqueName="[Table1].[Evaluator].[All]" allUniqueName="[Table1].[Evaluator].[All]" dimensionUniqueName="[Table1]" displayFolder="" count="0" memberValueDatatype="130" unbalanced="0"/>
    <cacheHierarchy uniqueName="[Table1].[Site ID]" caption="Site ID" attribute="1" defaultMemberUniqueName="[Table1].[Site ID].[All]" allUniqueName="[Table1].[Site ID].[All]" dimensionUniqueName="[Table1]" displayFolder="" count="0" memberValueDatatype="130" unbalanced="0"/>
    <cacheHierarchy uniqueName="[Table1].[County]" caption="County" attribute="1" defaultMemberUniqueName="[Table1].[County].[All]" allUniqueName="[Table1].[County].[All]" dimensionUniqueName="[Table1]" displayFolder="" count="0" memberValueDatatype="130" unbalanced="0"/>
    <cacheHierarchy uniqueName="[Table1].[Landuse]" caption="Landuse" attribute="1" defaultMemberUniqueName="[Table1].[Landuse].[All]" allUniqueName="[Table1].[Landuse].[All]" dimensionUniqueName="[Table1]" displayFolder="" count="0" memberValueDatatype="130" unbalanced="0"/>
    <cacheHierarchy uniqueName="[Table1].[Date Assessed]" caption="Date Assessed" attribute="1" defaultMemberUniqueName="[Table1].[Date Assessed].[All]" allUniqueName="[Table1].[Date Assessed].[All]" dimensionUniqueName="[Table1]" displayFolder="" count="0" memberValueDatatype="130" unbalanced="0"/>
    <cacheHierarchy uniqueName="[Table1].[Acres]" caption="Acres" attribute="1" defaultMemberUniqueName="[Table1].[Acres].[All]" allUniqueName="[Table1].[Acres].[All]" dimensionUniqueName="[Table1]" displayFolder="" count="0" memberValueDatatype="130" unbalanced="0"/>
    <cacheHierarchy uniqueName="[Table1].[Field Number]" caption="Field Number" attribute="1" defaultMemberUniqueName="[Table1].[Field Number].[All]" allUniqueName="[Table1].[Field Number].[All]" dimensionUniqueName="[Table1]" displayFolder="" count="0" memberValueDatatype="130" unbalanced="0"/>
    <cacheHierarchy uniqueName="[Table1].[Field Name]" caption="Field Name" attribute="1" defaultMemberUniqueName="[Table1].[Field Name].[All]" allUniqueName="[Table1].[Field Name].[All]" dimensionUniqueName="[Table1]" displayFolder="" count="0" memberValueDatatype="130" unbalanced="0"/>
    <cacheHierarchy uniqueName="[Table1].[Livestock Type]" caption="Livestock Type" attribute="1" defaultMemberUniqueName="[Table1].[Livestock Type].[All]" allUniqueName="[Table1].[Livestock Type].[All]" dimensionUniqueName="[Table1]" displayFolder="" count="0" memberValueDatatype="130" unbalanced="0"/>
    <cacheHierarchy uniqueName="[Table1].[Current Season's Precipitation]" caption="Current Season's Precipitation" attribute="1" defaultMemberUniqueName="[Table1].[Current Season's Precipitation].[All]" allUniqueName="[Table1].[Current Season's Precipitation].[All]" dimensionUniqueName="[Table1]" displayFolder="" count="0" memberValueDatatype="130" unbalanced="0"/>
    <cacheHierarchy uniqueName="[Table1].[Current Season's Temperature]" caption="Current Season's Temperature" attribute="1" defaultMemberUniqueName="[Table1].[Current Season's Temperature].[All]" allUniqueName="[Table1].[Current Season's Temperature].[All]" dimensionUniqueName="[Table1]" displayFolder="" count="0" memberValueDatatype="130" unbalanced="0"/>
    <cacheHierarchy uniqueName="[Table1].[Number Steps]" caption="Number Steps" attribute="1" defaultMemberUniqueName="[Table1].[Number Steps].[All]" allUniqueName="[Table1].[Number Steps].[All]" dimensionUniqueName="[Table1]" displayFolder="" count="0" memberValueDatatype="130" unbalanced="0"/>
    <cacheHierarchy uniqueName="[Table1].[Step Point]" caption="Step Point" attribute="1" defaultMemberUniqueName="[Table1].[Step Point].[All]" allUniqueName="[Table1].[Step Point].[All]" dimensionUniqueName="[Table1]" displayFolder="" count="0" memberValueDatatype="130" unbalanced="0"/>
    <cacheHierarchy uniqueName="[Table1].[Record Step Sample]" caption="Record Step Sample" attribute="1" defaultMemberUniqueName="[Table1].[Record Step Sample].[All]" allUniqueName="[Table1].[Record Step Sample].[All]" dimensionUniqueName="[Table1]" displayFolder="" count="2" memberValueDatatype="130" unbalanced="0">
      <fieldsUsage count="2">
        <fieldUsage x="-1"/>
        <fieldUsage x="0"/>
      </fieldsUsage>
    </cacheHierarchy>
    <cacheHierarchy uniqueName="[Table1].[Soil Cover]" caption="Soil Cover" attribute="1" defaultMemberUniqueName="[Table1].[Soil Cover].[All]" allUniqueName="[Table1].[Soil Cover].[All]" dimensionUniqueName="[Table1]" displayFolder="" count="0" memberValueDatatype="130" unbalanced="0"/>
    <cacheHierarchy uniqueName="[Table1].[Live Cover]" caption="Live Cover" attribute="1" defaultMemberUniqueName="[Table1].[Live Cover].[All]" allUniqueName="[Table1].[Live Cover].[All]" dimensionUniqueName="[Table1]" displayFolder="" count="0" memberValueDatatype="130" unbalanced="0"/>
    <cacheHierarchy uniqueName="[Table1].[Functional Type]" caption="Functional Type" attribute="1" defaultMemberUniqueName="[Table1].[Functional Type].[All]" allUniqueName="[Table1].[Functional Type].[All]" dimensionUniqueName="[Table1]" displayFolder="" count="0" memberValueDatatype="130" unbalanced="0"/>
    <cacheHierarchy uniqueName="[Table1].[Desirable - Cattle]" caption="Desirable - Cattle" attribute="1" defaultMemberUniqueName="[Table1].[Desirable - Cattle].[All]" allUniqueName="[Table1].[Desirable - Cattle].[All]" dimensionUniqueName="[Table1]" displayFolder="" count="0" memberValueDatatype="130" unbalanced="0"/>
    <cacheHierarchy uniqueName="[Table1].[Desirable - Sheep]" caption="Desirable - Sheep" attribute="1" defaultMemberUniqueName="[Table1].[Desirable - Sheep].[All]" allUniqueName="[Table1].[Desirable - Sheep].[All]" dimensionUniqueName="[Table1]" displayFolder="" count="0" memberValueDatatype="130" unbalanced="0"/>
    <cacheHierarchy uniqueName="[Table1].[Desirable - Horse]" caption="Desirable - Horse" attribute="1" defaultMemberUniqueName="[Table1].[Desirable - Horse].[All]" allUniqueName="[Table1].[Desirable - Horse].[All]" dimensionUniqueName="[Table1]" displayFolder="" count="0" memberValueDatatype="130" unbalanced="0"/>
    <cacheHierarchy uniqueName="[Table1].[Desirable - Goat]" caption="Desirable - Goat" attribute="1" defaultMemberUniqueName="[Table1].[Desirable - Goat].[All]" allUniqueName="[Table1].[Desirable - Goat].[All]" dimensionUniqueName="[Table1]" displayFolder="" count="0" memberValueDatatype="130" unbalanced="0"/>
    <cacheHierarchy uniqueName="[Table1].[Functional Group]" caption="Functional Group" attribute="1" defaultMemberUniqueName="[Table1].[Functional Group].[All]" allUniqueName="[Table1].[Functional Group].[All]" dimensionUniqueName="[Table1]" displayFolder="" count="0" memberValueDatatype="130" unbalanced="0"/>
    <cacheHierarchy uniqueName="[Table1].[Lifespan]" caption="Lifespan" attribute="1" defaultMemberUniqueName="[Table1].[Lifespan].[All]" allUniqueName="[Table1].[Lifespan].[All]" dimensionUniqueName="[Table1]" displayFolder="" count="0" memberValueDatatype="130" unbalanced="0"/>
    <cacheHierarchy uniqueName="[Table1].[Native]" caption="Native" attribute="1" defaultMemberUniqueName="[Table1].[Native].[All]" allUniqueName="[Table1].[Native].[All]" dimensionUniqueName="[Table1]" displayFolder="" count="0" memberValueDatatype="130" unbalanced="0"/>
    <cacheHierarchy uniqueName="[Table1].[Site Species]" caption="Site Species" attribute="1" defaultMemberUniqueName="[Table1].[Site Species].[All]" allUniqueName="[Table1].[Site Species].[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Functional Type]" caption="Count of Functional Type" measure="1" displayFolder="" measureGroup="Table1" count="0" hidden="1">
      <extLst>
        <ext xmlns:x15="http://schemas.microsoft.com/office/spreadsheetml/2010/11/main" uri="{B97F6D7D-B522-45F9-BDA1-12C45D357490}">
          <x15:cacheHierarchy aggregatedColumn="17"/>
        </ext>
      </extLst>
    </cacheHierarchy>
    <cacheHierarchy uniqueName="[Measures].[Count of Record Step Sample]" caption="Count of Record Step Sample" measure="1" displayFolder="" measureGroup="Table1" count="0" hidden="1">
      <extLst>
        <ext xmlns:x15="http://schemas.microsoft.com/office/spreadsheetml/2010/11/main" uri="{B97F6D7D-B522-45F9-BDA1-12C45D357490}">
          <x15:cacheHierarchy aggregatedColumn="14"/>
        </ext>
      </extLst>
    </cacheHierarchy>
    <cacheHierarchy uniqueName="[Measures].[Count of Native]" caption="Count of Native" measure="1" displayFolder="" measureGroup="Table1" count="0" hidden="1">
      <extLst>
        <ext xmlns:x15="http://schemas.microsoft.com/office/spreadsheetml/2010/11/main" uri="{B97F6D7D-B522-45F9-BDA1-12C45D357490}">
          <x15:cacheHierarchy aggregatedColumn="24"/>
        </ext>
      </extLst>
    </cacheHierarchy>
    <cacheHierarchy uniqueName="[Measures].[Count of Live Cover]" caption="Count of Live Cover" measure="1" displayFolder="" measureGroup="Table1" count="0" hidden="1">
      <extLst>
        <ext xmlns:x15="http://schemas.microsoft.com/office/spreadsheetml/2010/11/main" uri="{B97F6D7D-B522-45F9-BDA1-12C45D357490}">
          <x15:cacheHierarchy aggregatedColumn="16"/>
        </ext>
      </extLst>
    </cacheHierarchy>
    <cacheHierarchy uniqueName="[Measures].[Count of Desirable - Cattle]" caption="Count of Desirable - Cattle" measure="1" displayFolder="" measureGroup="Table1" count="0" hidden="1">
      <extLst>
        <ext xmlns:x15="http://schemas.microsoft.com/office/spreadsheetml/2010/11/main" uri="{B97F6D7D-B522-45F9-BDA1-12C45D357490}">
          <x15:cacheHierarchy aggregatedColumn="18"/>
        </ext>
      </extLst>
    </cacheHierarchy>
    <cacheHierarchy uniqueName="[Measures].[Count of Desirable - Sheep]" caption="Count of Desirable - Sheep" measure="1" displayFolder="" measureGroup="Table1" count="0" hidden="1">
      <extLst>
        <ext xmlns:x15="http://schemas.microsoft.com/office/spreadsheetml/2010/11/main" uri="{B97F6D7D-B522-45F9-BDA1-12C45D357490}">
          <x15:cacheHierarchy aggregatedColumn="19"/>
        </ext>
      </extLst>
    </cacheHierarchy>
    <cacheHierarchy uniqueName="[Measures].[Count of Desirable - Horse]" caption="Count of Desirable - Horse" measure="1" displayFolder="" measureGroup="Table1" count="0" hidden="1">
      <extLst>
        <ext xmlns:x15="http://schemas.microsoft.com/office/spreadsheetml/2010/11/main" uri="{B97F6D7D-B522-45F9-BDA1-12C45D357490}">
          <x15:cacheHierarchy aggregatedColumn="20"/>
        </ext>
      </extLst>
    </cacheHierarchy>
    <cacheHierarchy uniqueName="[Measures].[Count of Desirable - Goat]" caption="Count of Desirable - Goat" measure="1" displayFolder="" measureGroup="Table1" count="0" hidden="1">
      <extLst>
        <ext xmlns:x15="http://schemas.microsoft.com/office/spreadsheetml/2010/11/main" uri="{B97F6D7D-B522-45F9-BDA1-12C45D357490}">
          <x15:cacheHierarchy aggregatedColumn="21"/>
        </ext>
      </extLst>
    </cacheHierarchy>
    <cacheHierarchy uniqueName="[Measures].[Distinct Count of Desirable - Goat]" caption="Distinct Count of Desirable - Goat" measure="1" displayFolder="" measureGroup="Table1" count="0" hidden="1">
      <extLst>
        <ext xmlns:x15="http://schemas.microsoft.com/office/spreadsheetml/2010/11/main" uri="{B97F6D7D-B522-45F9-BDA1-12C45D357490}">
          <x15:cacheHierarchy aggregatedColumn="21"/>
        </ext>
      </extLst>
    </cacheHierarchy>
    <cacheHierarchy uniqueName="[Measures].[Distinct Count of Record Step Sample]" caption="Distinct Count of Record Step Sample" measure="1" displayFolder="" measureGroup="Table1" count="0" hidden="1">
      <extLst>
        <ext xmlns:x15="http://schemas.microsoft.com/office/spreadsheetml/2010/11/main" uri="{B97F6D7D-B522-45F9-BDA1-12C45D357490}">
          <x15:cacheHierarchy aggregatedColumn="14"/>
        </ext>
      </extLst>
    </cacheHierarchy>
    <cacheHierarchy uniqueName="[Measures].[Sum of ID]" caption="Sum of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BEBADD9-7D31-4E81-B2DD-C023317B66EC}" name="PivotTable6" cacheId="0" applyNumberFormats="0" applyBorderFormats="0" applyFontFormats="0" applyPatternFormats="0" applyAlignmentFormats="0" applyWidthHeightFormats="1" dataCaption="Values" grandTotalCaption="Total" tag="679342d9-6ada-42eb-b1e8-437b9f51397a" updatedVersion="8" minRefreshableVersion="3" subtotalHiddenItems="1" rowGrandTotals="0" colGrandTotals="0" itemPrintTitles="1" createdVersion="8" indent="0" outline="1" outlineData="1" multipleFieldFilters="0" chartFormat="2" rowHeaderCaption="Common Name" colHeaderCaption="">
  <location ref="B79:B81" firstHeaderRow="1" firstDataRow="1" firstDataCol="1"/>
  <pivotFields count="1">
    <pivotField name="Common Name" axis="axisRow" allDrilled="1" outline="0" subtotalTop="0" showAll="0" defaultSubtotal="0" defaultAttributeDrillState="1">
      <items count="2">
        <item x="0"/>
        <item x="1"/>
      </items>
    </pivotField>
  </pivotFields>
  <rowFields count="1">
    <field x="0"/>
  </rowFields>
  <rowItems count="2">
    <i>
      <x/>
    </i>
    <i>
      <x v="1"/>
    </i>
  </rowItems>
  <formats count="43">
    <format dxfId="70">
      <pivotArea outline="0" collapsedLevelsAreSubtotals="1" fieldPosition="0"/>
    </format>
    <format dxfId="69">
      <pivotArea dataOnly="0" labelOnly="1" outline="0" axis="axisValues" fieldPosition="0"/>
    </format>
    <format dxfId="68">
      <pivotArea outline="0" collapsedLevelsAreSubtotals="1" fieldPosition="0"/>
    </format>
    <format dxfId="67">
      <pivotArea dataOnly="0" labelOnly="1" outline="0" axis="axisValues" fieldPosition="0"/>
    </format>
    <format dxfId="66">
      <pivotArea outline="0" collapsedLevelsAreSubtotals="1" fieldPosition="0"/>
    </format>
    <format dxfId="65">
      <pivotArea dataOnly="0" labelOnly="1" outline="0" axis="axisValues" fieldPosition="0"/>
    </format>
    <format dxfId="64">
      <pivotArea type="all" dataOnly="0" outline="0" fieldPosition="0"/>
    </format>
    <format dxfId="63">
      <pivotArea outline="0" collapsedLevelsAreSubtotals="1" fieldPosition="0"/>
    </format>
    <format dxfId="62">
      <pivotArea field="0" type="button" dataOnly="0" labelOnly="1" outline="0" axis="axisRow" fieldPosition="0"/>
    </format>
    <format dxfId="61">
      <pivotArea dataOnly="0" labelOnly="1" grandRow="1" outline="0" fieldPosition="0"/>
    </format>
    <format dxfId="60">
      <pivotArea dataOnly="0" labelOnly="1" outline="0" axis="axisValues" fieldPosition="0"/>
    </format>
    <format dxfId="59">
      <pivotArea type="origin" dataOnly="0" labelOnly="1" outline="0" fieldPosition="0"/>
    </format>
    <format dxfId="58">
      <pivotArea type="topRight" dataOnly="0" labelOnly="1" outline="0" fieldPosition="0"/>
    </format>
    <format dxfId="57">
      <pivotArea field="0" type="button" dataOnly="0" labelOnly="1" outline="0" axis="axisRow" fieldPosition="0"/>
    </format>
    <format dxfId="56">
      <pivotArea dataOnly="0" labelOnly="1" grandCol="1" outline="0" fieldPosition="0"/>
    </format>
    <format dxfId="55">
      <pivotArea dataOnly="0" grandRow="1" outline="0" fieldPosition="0"/>
    </format>
    <format dxfId="54">
      <pivotArea type="origin" dataOnly="0" labelOnly="1" outline="0" fieldPosition="0"/>
    </format>
    <format dxfId="53">
      <pivotArea type="all" dataOnly="0" outline="0" fieldPosition="0"/>
    </format>
    <format dxfId="52">
      <pivotArea outline="0" collapsedLevelsAreSubtotals="1" fieldPosition="0"/>
    </format>
    <format dxfId="51">
      <pivotArea type="origin" dataOnly="0" labelOnly="1" outline="0" fieldPosition="0"/>
    </format>
    <format dxfId="50">
      <pivotArea type="topRight" dataOnly="0" labelOnly="1" outline="0" fieldPosition="0"/>
    </format>
    <format dxfId="49">
      <pivotArea dataOnly="0" labelOnly="1" grandRow="1" outline="0" fieldPosition="0"/>
    </format>
    <format dxfId="48">
      <pivotArea dataOnly="0" labelOnly="1" grandCol="1" outline="0" fieldPosition="0"/>
    </format>
    <format dxfId="47">
      <pivotArea type="all" dataOnly="0" outline="0" fieldPosition="0"/>
    </format>
    <format dxfId="46">
      <pivotArea outline="0" collapsedLevelsAreSubtotals="1" fieldPosition="0"/>
    </format>
    <format dxfId="45">
      <pivotArea type="origin" dataOnly="0" labelOnly="1" outline="0" fieldPosition="0"/>
    </format>
    <format dxfId="44">
      <pivotArea type="topRight" dataOnly="0" labelOnly="1" outline="0" fieldPosition="0"/>
    </format>
    <format dxfId="43">
      <pivotArea dataOnly="0" labelOnly="1" grandRow="1" outline="0" fieldPosition="0"/>
    </format>
    <format dxfId="42">
      <pivotArea dataOnly="0" labelOnly="1" grandCol="1" outline="0" fieldPosition="0"/>
    </format>
    <format dxfId="41">
      <pivotArea type="all" dataOnly="0" outline="0" fieldPosition="0"/>
    </format>
    <format dxfId="40">
      <pivotArea outline="0" collapsedLevelsAreSubtotals="1" fieldPosition="0"/>
    </format>
    <format dxfId="39">
      <pivotArea type="topRight" dataOnly="0" labelOnly="1" outline="0" fieldPosition="0"/>
    </format>
    <format dxfId="38">
      <pivotArea dataOnly="0" labelOnly="1" grandCol="1" outline="0" fieldPosition="0"/>
    </format>
    <format dxfId="37">
      <pivotArea type="origin" dataOnly="0" labelOnly="1" outline="0" fieldPosition="0"/>
    </format>
    <format dxfId="36">
      <pivotArea dataOnly="0" labelOnly="1" grandRow="1" outline="0" fieldPosition="0"/>
    </format>
    <format dxfId="35">
      <pivotArea type="origin" dataOnly="0" labelOnly="1" outline="0" fieldPosition="0"/>
    </format>
    <format dxfId="34">
      <pivotArea type="topRight" dataOnly="0" labelOnly="1" outline="0" fieldPosition="0"/>
    </format>
    <format dxfId="33">
      <pivotArea dataOnly="0" labelOnly="1" grandCol="1" outline="0" fieldPosition="0"/>
    </format>
    <format dxfId="32">
      <pivotArea outline="0" collapsedLevelsAreSubtotals="1" fieldPosition="0"/>
    </format>
    <format dxfId="31">
      <pivotArea dataOnly="0" labelOnly="1" outline="0" axis="axisValues" fieldPosition="0"/>
    </format>
    <format dxfId="30">
      <pivotArea dataOnly="0" labelOnly="1" outline="0" axis="axisValues" fieldPosition="0"/>
    </format>
    <format dxfId="29">
      <pivotArea type="origin" dataOnly="0" labelOnly="1" outline="0" fieldPosition="0"/>
    </format>
    <format dxfId="28">
      <pivotArea field="0" type="button" dataOnly="0" labelOnly="1" outline="0" axis="axisRow" fieldPosition="0"/>
    </format>
  </formats>
  <pivotHierarchies count="39">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mmon Nam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Count"/>
    <pivotHierarchy dragToData="1"/>
    <pivotHierarchy dragToData="1"/>
    <pivotHierarchy dragToData="1"/>
    <pivotHierarchy dragToData="1"/>
    <pivotHierarchy dragToData="1"/>
    <pivotHierarchy dragToData="1"/>
    <pivotHierarchy dragToData="1"/>
    <pivotHierarchy dragToData="1" caption="Distinct Count of Common Name"/>
    <pivotHierarchy dragToData="1"/>
  </pivotHierarchies>
  <pivotTableStyleInfo name="Gridlines"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CS_Step Point Worksheet_2020_working_02262025.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2C6B0E-501A-471A-A9B5-39A9AB190FF3}" name="Table1" displayName="Table1" ref="A1:Z3" totalsRowShown="0" headerRowDxfId="27" dataDxfId="26">
  <autoFilter ref="A1:Z3" xr:uid="{0D2C6B0E-501A-471A-A9B5-39A9AB190FF3}"/>
  <tableColumns count="26">
    <tableColumn id="1" xr3:uid="{39EDEFC4-E589-4819-BF41-D3BFBE7E5EAE}" name="ID" dataDxfId="25">
      <calculatedColumnFormula>ROW()-2</calculatedColumnFormula>
    </tableColumn>
    <tableColumn id="2" xr3:uid="{E2A5711D-8B13-46CD-B5AA-7D402FCBD47A}" name="Evaluator" dataDxfId="24">
      <calculatedColumnFormula>IF(Form!$C$7="","",Form!$C$7)</calculatedColumnFormula>
    </tableColumn>
    <tableColumn id="3" xr3:uid="{69851AAD-E35E-4A39-ABF8-98C0DFAD1C2D}" name="Site ID" dataDxfId="23"/>
    <tableColumn id="4" xr3:uid="{B7CD6B37-4384-46D7-A7A0-D81B6B7509A5}" name="County" dataDxfId="22"/>
    <tableColumn id="5" xr3:uid="{7613ED47-43FF-434F-96DF-3D5BBCCF908D}" name="Landuse" dataDxfId="21"/>
    <tableColumn id="6" xr3:uid="{73CC405F-9DCF-45A9-9B8B-76FE26D46949}" name="Date Assessed" dataDxfId="20"/>
    <tableColumn id="7" xr3:uid="{583CD60D-2ABC-4708-BB46-B37F402AAEAF}" name="Acres" dataDxfId="19"/>
    <tableColumn id="8" xr3:uid="{3371AF22-B332-4C77-AE69-9FF98F4DB082}" name="Field Number" dataDxfId="18"/>
    <tableColumn id="9" xr3:uid="{E0EA1D95-FB3B-4F3B-9729-E2498422BE43}" name="Field Name" dataDxfId="17"/>
    <tableColumn id="10" xr3:uid="{ACEC0A58-232B-47DE-9C0D-02982420FF9C}" name="Livestock Type" dataDxfId="16"/>
    <tableColumn id="11" xr3:uid="{2027D226-2AA0-4FE4-B0F1-E4C32DEDAFE3}" name="Current Season's Precipitation" dataDxfId="15"/>
    <tableColumn id="12" xr3:uid="{C923362C-00F1-46A3-B103-522882424C03}" name="Current Season's Temperature" dataDxfId="14"/>
    <tableColumn id="13" xr3:uid="{FC1E77B7-E0D8-4F14-A194-78F2DF2950E9}" name="Number Steps" dataDxfId="13"/>
    <tableColumn id="17" xr3:uid="{03EE3DF0-B0EB-4C24-BCC4-6AA363123467}" name="Step Point" dataDxfId="12">
      <calculatedColumnFormula>IF(Form!I18="",Form!K18,Form!I18)</calculatedColumnFormula>
    </tableColumn>
    <tableColumn id="14" xr3:uid="{1750BF20-6428-484A-B0CB-173680828A9A}" name="Record Step Sample" dataDxfId="11"/>
    <tableColumn id="15" xr3:uid="{29FC14D8-C33E-4DF3-8488-A435ECCFA5A8}" name="Soil Cover" dataDxfId="10"/>
    <tableColumn id="16" xr3:uid="{88578E35-B4E2-4214-8F3B-B4F1A8EC052E}" name="Live Cover" dataDxfId="9"/>
    <tableColumn id="18" xr3:uid="{7C9AEDFB-000B-408B-8CC6-BCF36231BE9A}" name="Functional Type" dataDxfId="8">
      <calculatedColumnFormula>IF(Form!D21="","",VLOOKUP(Table1[[#This Row],[Record Step Sample]],Form_Reference!A$3:L$1000,6,FALSE))</calculatedColumnFormula>
    </tableColumn>
    <tableColumn id="19" xr3:uid="{00BD08E1-6FD2-48AF-9DD0-C9096CDB3107}" name="Desirable - Cattle" dataDxfId="7">
      <calculatedColumnFormula>IF(Form!D21="","",VLOOKUP(Table1[[#This Row],[Record Step Sample]],Form_Reference!$A$3:$L$1000,8,FALSE))</calculatedColumnFormula>
    </tableColumn>
    <tableColumn id="20" xr3:uid="{ABF69F2A-942D-49A8-A53A-96818E0B29AD}" name="Desirable - Sheep" dataDxfId="6">
      <calculatedColumnFormula>IF(Form!D21="","",VLOOKUP(Table1[[#This Row],[Record Step Sample]],Form_Reference!$A$3:$L$1000,9,FALSE))</calculatedColumnFormula>
    </tableColumn>
    <tableColumn id="21" xr3:uid="{81BBA4B3-A4AA-4855-963D-6A9BB333C4AE}" name="Desirable - Horse" dataDxfId="5">
      <calculatedColumnFormula>IF(Form!D21="","",VLOOKUP(Table1[[#This Row],[Record Step Sample]],Form_Reference!$A$3:$L$1000,10,FALSE))</calculatedColumnFormula>
    </tableColumn>
    <tableColumn id="22" xr3:uid="{634314C2-20D5-4BE5-9B4C-0B643E0B6E49}" name="Desirable - Goat" dataDxfId="4">
      <calculatedColumnFormula>IF(Form!D21="","",VLOOKUP(Table1[[#This Row],[Record Step Sample]],Form_Reference!$A$3:$L$1000,11,FALSE))</calculatedColumnFormula>
    </tableColumn>
    <tableColumn id="23" xr3:uid="{5D172812-D79A-4C80-999F-32718576900A}" name="Functional Group" dataDxfId="3">
      <calculatedColumnFormula>IF(Form!D21="","",VLOOKUP(Table1[[#This Row],[Record Step Sample]],Form_Reference!$A$3:$L$1000,6,FALSE))</calculatedColumnFormula>
    </tableColumn>
    <tableColumn id="24" xr3:uid="{60EE0596-7580-455D-9D61-324ECA8E5182}" name="Lifespan" dataDxfId="2">
      <calculatedColumnFormula>IF(Form!D21="","",VLOOKUP(Table1[[#This Row],[Record Step Sample]],Form_Reference!$A$3:$L$1000,5,FALSE))</calculatedColumnFormula>
    </tableColumn>
    <tableColumn id="25" xr3:uid="{3B7AAF8C-5AA5-45EA-A968-AF953347B1B7}" name="Native" dataDxfId="1">
      <calculatedColumnFormula>IF(Form!D21="","",VLOOKUP(Table1[[#This Row],[Record Step Sample]],Form_Reference!$A$3:$L$1000,7,FALSE))</calculatedColumnFormula>
    </tableColumn>
    <tableColumn id="26" xr3:uid="{21ACB3D5-A9C2-411B-8B0E-6F0A62BB047F}" name="Site Species" dataDxfId="0">
      <calculatedColumnFormula>IF(Form!D21="","",_xlfn.TEXTJOIN("; ",TRUE,_xlfn.UNIQUE(#REF!)))</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7.emf"/><Relationship Id="rId18" Type="http://schemas.openxmlformats.org/officeDocument/2006/relationships/image" Target="../media/image9.emf"/><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ontrol" Target="../activeX/activeX5.xml"/><Relationship Id="rId17" Type="http://schemas.openxmlformats.org/officeDocument/2006/relationships/control" Target="../activeX/activeX8.xml"/><Relationship Id="rId2" Type="http://schemas.openxmlformats.org/officeDocument/2006/relationships/drawing" Target="../drawings/drawing2.xml"/><Relationship Id="rId16" Type="http://schemas.openxmlformats.org/officeDocument/2006/relationships/control" Target="../activeX/activeX7.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image" Target="../media/image8.emf"/><Relationship Id="rId10" Type="http://schemas.openxmlformats.org/officeDocument/2006/relationships/control" Target="../activeX/activeX4.xml"/><Relationship Id="rId19" Type="http://schemas.openxmlformats.org/officeDocument/2006/relationships/control" Target="../activeX/activeX9.xml"/><Relationship Id="rId4" Type="http://schemas.openxmlformats.org/officeDocument/2006/relationships/control" Target="../activeX/activeX1.xml"/><Relationship Id="rId9" Type="http://schemas.openxmlformats.org/officeDocument/2006/relationships/image" Target="../media/image5.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ctrlProp" Target="../ctrlProps/ctrlProp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2.emf"/><Relationship Id="rId10" Type="http://schemas.openxmlformats.org/officeDocument/2006/relationships/ctrlProp" Target="../ctrlProps/ctrlProp5.xml"/><Relationship Id="rId4" Type="http://schemas.openxmlformats.org/officeDocument/2006/relationships/control" Target="../activeX/activeX10.xml"/><Relationship Id="rId9"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6.bin"/><Relationship Id="rId1" Type="http://schemas.openxmlformats.org/officeDocument/2006/relationships/hyperlink" Target="https://plants.sc.egov.usda.gov/java/profile?symbol=RHCO" TargetMode="Externa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6B5F4-5D0B-4ABE-A5D4-B320A493FBD2}">
  <sheetPr codeName="Sheet2">
    <tabColor rgb="FFFFFF00"/>
  </sheetPr>
  <dimension ref="A1"/>
  <sheetViews>
    <sheetView showGridLines="0" workbookViewId="0">
      <selection activeCell="R12" sqref="R12"/>
    </sheetView>
  </sheetViews>
  <sheetFormatPr defaultColWidth="9" defaultRowHeight="13"/>
  <sheetData/>
  <sheetProtection password="CB51" sheet="1" selectLockedCells="1" selectUnlockedCell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19022-F7F8-401A-BA2C-121E588AA6E3}">
  <sheetPr codeName="Sheet4">
    <tabColor theme="5"/>
  </sheetPr>
  <dimension ref="A1:K39"/>
  <sheetViews>
    <sheetView showGridLines="0" tabSelected="1" topLeftCell="A4" zoomScale="130" zoomScaleNormal="130" workbookViewId="0">
      <selection activeCell="H10" sqref="H10:K10"/>
    </sheetView>
  </sheetViews>
  <sheetFormatPr defaultRowHeight="13"/>
  <cols>
    <col min="9" max="9" width="9.69921875" bestFit="1" customWidth="1"/>
    <col min="16" max="16" width="9.69921875" bestFit="1" customWidth="1"/>
  </cols>
  <sheetData>
    <row r="1" spans="1:11">
      <c r="A1" s="295" t="s">
        <v>1190</v>
      </c>
      <c r="B1" s="296"/>
      <c r="C1" s="296"/>
      <c r="D1" s="296"/>
      <c r="E1" s="296"/>
      <c r="F1" s="296"/>
      <c r="G1" s="296"/>
      <c r="H1" s="296"/>
      <c r="I1" s="296"/>
      <c r="J1" s="296"/>
      <c r="K1" s="297"/>
    </row>
    <row r="2" spans="1:11">
      <c r="A2" s="298"/>
      <c r="B2" s="299" t="e">
        <v>#N/A</v>
      </c>
      <c r="C2" s="299"/>
      <c r="D2" s="299"/>
      <c r="E2" s="299"/>
      <c r="F2" s="299"/>
      <c r="G2" s="299"/>
      <c r="H2" s="299"/>
      <c r="I2" s="299"/>
      <c r="J2" s="299"/>
      <c r="K2" s="300"/>
    </row>
    <row r="3" spans="1:11">
      <c r="A3" s="298"/>
      <c r="B3" s="299"/>
      <c r="C3" s="299"/>
      <c r="D3" s="299"/>
      <c r="E3" s="299"/>
      <c r="F3" s="299"/>
      <c r="G3" s="299"/>
      <c r="H3" s="299"/>
      <c r="I3" s="299"/>
      <c r="J3" s="299"/>
      <c r="K3" s="300"/>
    </row>
    <row r="4" spans="1:11" ht="15" customHeight="1">
      <c r="A4" s="301" t="str">
        <f>IF(I18="Yes", "Step Point Method","")</f>
        <v/>
      </c>
      <c r="B4" s="302"/>
      <c r="C4" s="302"/>
      <c r="D4" s="302"/>
      <c r="E4" s="302"/>
      <c r="F4" s="302"/>
      <c r="G4" s="302"/>
      <c r="H4" s="302"/>
      <c r="I4" s="302"/>
      <c r="J4" s="302"/>
      <c r="K4" s="303"/>
    </row>
    <row r="5" spans="1:11" ht="2.25" customHeight="1">
      <c r="A5" s="301"/>
      <c r="B5" s="302"/>
      <c r="C5" s="302"/>
      <c r="D5" s="302"/>
      <c r="E5" s="302"/>
      <c r="F5" s="302"/>
      <c r="G5" s="302"/>
      <c r="H5" s="302"/>
      <c r="I5" s="302"/>
      <c r="J5" s="302"/>
      <c r="K5" s="303"/>
    </row>
    <row r="6" spans="1:11" ht="6.75" customHeight="1" thickBot="1">
      <c r="A6" s="65"/>
      <c r="C6" s="57"/>
      <c r="D6" s="57"/>
      <c r="E6" s="57"/>
      <c r="F6" s="57"/>
      <c r="G6" s="57"/>
      <c r="H6" s="57"/>
      <c r="I6" s="57"/>
      <c r="J6" s="57"/>
      <c r="K6" s="66"/>
    </row>
    <row r="7" spans="1:11" ht="20.149999999999999" customHeight="1">
      <c r="A7" s="50" t="s">
        <v>1250</v>
      </c>
      <c r="B7" s="50"/>
      <c r="C7" s="313" t="s">
        <v>1279</v>
      </c>
      <c r="D7" s="313"/>
      <c r="E7" s="313"/>
      <c r="F7" s="313"/>
      <c r="G7" s="313"/>
      <c r="H7" s="310" t="s">
        <v>0</v>
      </c>
      <c r="I7" s="310"/>
      <c r="J7" s="304">
        <f ca="1">TODAY()</f>
        <v>45804</v>
      </c>
      <c r="K7" s="305"/>
    </row>
    <row r="8" spans="1:11" ht="20.149999999999999" customHeight="1">
      <c r="A8" s="312" t="s">
        <v>1249</v>
      </c>
      <c r="B8" s="311"/>
      <c r="C8" s="307" t="s">
        <v>1280</v>
      </c>
      <c r="D8" s="307"/>
      <c r="E8" s="307"/>
      <c r="F8" s="307"/>
      <c r="G8" s="307"/>
      <c r="H8" s="327" t="s">
        <v>702</v>
      </c>
      <c r="I8" s="327"/>
      <c r="J8" s="328">
        <v>15.3</v>
      </c>
      <c r="K8" s="329"/>
    </row>
    <row r="9" spans="1:11" ht="20.149999999999999" customHeight="1">
      <c r="A9" s="312" t="s">
        <v>1251</v>
      </c>
      <c r="B9" s="311"/>
      <c r="C9" s="306" t="s">
        <v>1113</v>
      </c>
      <c r="D9" s="306"/>
      <c r="E9" s="306"/>
      <c r="F9" s="311" t="s">
        <v>1253</v>
      </c>
      <c r="G9" s="311"/>
      <c r="H9" s="306">
        <v>342</v>
      </c>
      <c r="I9" s="306"/>
      <c r="J9" s="306"/>
      <c r="K9" s="309"/>
    </row>
    <row r="10" spans="1:11" ht="20.149999999999999" customHeight="1">
      <c r="A10" s="312" t="s">
        <v>1252</v>
      </c>
      <c r="B10" s="311"/>
      <c r="C10" s="307" t="s">
        <v>696</v>
      </c>
      <c r="D10" s="307"/>
      <c r="E10" s="307"/>
      <c r="F10" s="311" t="s">
        <v>1254</v>
      </c>
      <c r="G10" s="311"/>
      <c r="H10" s="307" t="s">
        <v>1281</v>
      </c>
      <c r="I10" s="307"/>
      <c r="J10" s="307"/>
      <c r="K10" s="308"/>
    </row>
    <row r="11" spans="1:11" ht="20.149999999999999" customHeight="1">
      <c r="A11" s="334" t="s">
        <v>679</v>
      </c>
      <c r="B11" s="335"/>
      <c r="C11" s="335"/>
      <c r="D11" s="51"/>
      <c r="E11" s="335" t="s">
        <v>672</v>
      </c>
      <c r="F11" s="335"/>
      <c r="G11" s="335"/>
      <c r="H11" s="52"/>
      <c r="I11" s="335" t="s">
        <v>673</v>
      </c>
      <c r="J11" s="335"/>
      <c r="K11" s="336"/>
    </row>
    <row r="12" spans="1:11" ht="20.149999999999999" customHeight="1">
      <c r="A12" s="53"/>
      <c r="E12" s="54" t="b">
        <v>0</v>
      </c>
      <c r="F12" s="54"/>
      <c r="G12" s="54"/>
      <c r="H12" s="54"/>
      <c r="I12" s="54" t="b">
        <v>0</v>
      </c>
      <c r="K12" s="55"/>
    </row>
    <row r="13" spans="1:11" ht="20.149999999999999" customHeight="1">
      <c r="A13" s="53"/>
      <c r="E13" s="54" t="b">
        <v>1</v>
      </c>
      <c r="F13" s="54"/>
      <c r="G13" s="54"/>
      <c r="H13" s="54"/>
      <c r="I13" s="54" t="b">
        <v>1</v>
      </c>
      <c r="K13" s="55"/>
    </row>
    <row r="14" spans="1:11" ht="20.149999999999999" customHeight="1">
      <c r="A14" s="53"/>
      <c r="E14" s="54" t="b">
        <v>0</v>
      </c>
      <c r="F14" s="54"/>
      <c r="G14" s="54"/>
      <c r="H14" s="54"/>
      <c r="I14" s="54" t="b">
        <v>0</v>
      </c>
      <c r="K14" s="55"/>
    </row>
    <row r="15" spans="1:11" ht="20.149999999999999" customHeight="1">
      <c r="A15" s="53"/>
      <c r="E15" s="330" t="str">
        <f>IF(E13=TRUE, "Normal", IF(E12=TRUE, "Above Normal","Below Normal"))</f>
        <v>Normal</v>
      </c>
      <c r="F15" s="330"/>
      <c r="G15" s="330"/>
      <c r="H15" s="56"/>
      <c r="I15" s="330" t="str">
        <f>IF(I13=TRUE, "Normal", IF(I12=TRUE, "Above Normal","Below Normal"))</f>
        <v>Normal</v>
      </c>
      <c r="J15" s="330"/>
      <c r="K15" s="331"/>
    </row>
    <row r="16" spans="1:11" ht="20.149999999999999" customHeight="1" thickBot="1">
      <c r="A16" s="332"/>
      <c r="B16" s="333"/>
      <c r="C16" s="333"/>
      <c r="D16" s="57"/>
      <c r="E16" s="337" t="s">
        <v>1278</v>
      </c>
      <c r="F16" s="337"/>
      <c r="G16" s="337"/>
      <c r="H16" s="337"/>
      <c r="I16" s="337"/>
      <c r="J16" s="337"/>
      <c r="K16" s="338"/>
    </row>
    <row r="17" spans="1:11" ht="20.149999999999999" customHeight="1" thickBot="1">
      <c r="A17" s="67"/>
      <c r="B17" s="68"/>
      <c r="C17" s="68"/>
      <c r="E17" s="41"/>
      <c r="F17" s="41"/>
      <c r="G17" s="41"/>
      <c r="H17" s="41"/>
      <c r="I17" s="41"/>
      <c r="J17" s="41"/>
      <c r="K17" s="69"/>
    </row>
    <row r="18" spans="1:11" ht="20.149999999999999" customHeight="1">
      <c r="A18" s="58" t="s">
        <v>680</v>
      </c>
      <c r="B18" s="59"/>
      <c r="C18" s="59"/>
      <c r="D18" s="59"/>
      <c r="E18" s="59"/>
      <c r="F18" s="59"/>
      <c r="G18" s="59"/>
      <c r="H18" s="59" t="b">
        <v>0</v>
      </c>
      <c r="I18" s="71" t="str">
        <f>IF(H18=TRUE, "Yes", "")</f>
        <v/>
      </c>
      <c r="J18" s="59" t="b">
        <v>1</v>
      </c>
      <c r="K18" s="70" t="str">
        <f>IF(J18=TRUE, "No", "")</f>
        <v>No</v>
      </c>
    </row>
    <row r="19" spans="1:11" ht="20.149999999999999" customHeight="1">
      <c r="A19" s="60" t="s">
        <v>682</v>
      </c>
      <c r="B19" s="61"/>
      <c r="C19" s="326">
        <f>IF(J8="","",IF(J8&lt;0.5,25,IF(J8&gt;8,400,J8*50)))</f>
        <v>400</v>
      </c>
      <c r="D19" s="326"/>
      <c r="E19" s="73" t="s">
        <v>681</v>
      </c>
      <c r="F19" s="62"/>
      <c r="G19" s="63"/>
      <c r="H19" s="63"/>
      <c r="I19" s="63"/>
      <c r="J19" s="63"/>
      <c r="K19" s="64"/>
    </row>
    <row r="20" spans="1:11" ht="20.149999999999999" customHeight="1">
      <c r="A20" s="323" t="s">
        <v>704</v>
      </c>
      <c r="B20" s="324"/>
      <c r="C20" s="325">
        <v>55</v>
      </c>
      <c r="D20" s="325"/>
      <c r="E20" s="72"/>
      <c r="F20" s="72"/>
      <c r="G20" s="322" t="s">
        <v>706</v>
      </c>
      <c r="H20" s="322"/>
      <c r="I20" s="318" t="s">
        <v>5</v>
      </c>
      <c r="J20" s="318"/>
      <c r="K20" s="319"/>
    </row>
    <row r="21" spans="1:11" ht="20.149999999999999" customHeight="1" thickBot="1">
      <c r="A21" s="314" t="s">
        <v>705</v>
      </c>
      <c r="B21" s="315"/>
      <c r="C21" s="315"/>
      <c r="D21" s="320" t="s">
        <v>934</v>
      </c>
      <c r="E21" s="320"/>
      <c r="F21" s="320"/>
      <c r="G21" s="321" t="s">
        <v>707</v>
      </c>
      <c r="H21" s="321"/>
      <c r="I21" s="316" t="s">
        <v>686</v>
      </c>
      <c r="J21" s="316"/>
      <c r="K21" s="317"/>
    </row>
    <row r="22" spans="1:11" ht="20.149999999999999" customHeight="1"/>
    <row r="23" spans="1:11" ht="20.149999999999999" customHeight="1">
      <c r="H23" s="294"/>
      <c r="I23" s="294"/>
      <c r="J23" s="294"/>
    </row>
    <row r="24" spans="1:11" ht="20.149999999999999" customHeight="1"/>
    <row r="25" spans="1:11" ht="20.149999999999999" customHeight="1"/>
    <row r="26" spans="1:11" ht="20.149999999999999" customHeight="1"/>
    <row r="27" spans="1:11" ht="20.149999999999999" customHeight="1"/>
    <row r="28" spans="1:11" ht="20.149999999999999" customHeight="1"/>
    <row r="29" spans="1:11" ht="20.149999999999999" customHeight="1"/>
    <row r="30" spans="1:11" ht="20.149999999999999" customHeight="1"/>
    <row r="31" spans="1:11" ht="20.149999999999999" customHeight="1">
      <c r="A31" s="47" t="s">
        <v>674</v>
      </c>
    </row>
    <row r="32" spans="1:11" ht="20.149999999999999" customHeight="1">
      <c r="A32" s="47" t="s">
        <v>676</v>
      </c>
    </row>
    <row r="33" spans="1:1" ht="20.149999999999999" customHeight="1">
      <c r="A33" s="47" t="s">
        <v>675</v>
      </c>
    </row>
    <row r="34" spans="1:1" ht="20.149999999999999" customHeight="1">
      <c r="A34" s="47" t="s">
        <v>677</v>
      </c>
    </row>
    <row r="35" spans="1:1" ht="20.149999999999999" customHeight="1">
      <c r="A35" s="47" t="s">
        <v>678</v>
      </c>
    </row>
    <row r="36" spans="1:1" ht="20.149999999999999" customHeight="1"/>
    <row r="37" spans="1:1" ht="20.149999999999999" customHeight="1"/>
    <row r="38" spans="1:1" ht="20.149999999999999" customHeight="1"/>
    <row r="39" spans="1:1" ht="20.149999999999999" customHeight="1"/>
  </sheetData>
  <mergeCells count="34">
    <mergeCell ref="C19:D19"/>
    <mergeCell ref="H8:I8"/>
    <mergeCell ref="J8:K8"/>
    <mergeCell ref="E15:G15"/>
    <mergeCell ref="I15:K15"/>
    <mergeCell ref="A16:C16"/>
    <mergeCell ref="A11:C11"/>
    <mergeCell ref="A9:B9"/>
    <mergeCell ref="A10:B10"/>
    <mergeCell ref="I11:K11"/>
    <mergeCell ref="E11:G11"/>
    <mergeCell ref="E16:K16"/>
    <mergeCell ref="I20:K20"/>
    <mergeCell ref="D21:F21"/>
    <mergeCell ref="G21:H21"/>
    <mergeCell ref="G20:H20"/>
    <mergeCell ref="A20:B20"/>
    <mergeCell ref="C20:D20"/>
    <mergeCell ref="H23:J23"/>
    <mergeCell ref="A1:K3"/>
    <mergeCell ref="A4:K5"/>
    <mergeCell ref="J7:K7"/>
    <mergeCell ref="C9:E9"/>
    <mergeCell ref="H10:K10"/>
    <mergeCell ref="H9:K9"/>
    <mergeCell ref="C10:E10"/>
    <mergeCell ref="H7:I7"/>
    <mergeCell ref="F9:G9"/>
    <mergeCell ref="F10:G10"/>
    <mergeCell ref="C8:G8"/>
    <mergeCell ref="A8:B8"/>
    <mergeCell ref="C7:G7"/>
    <mergeCell ref="A21:C21"/>
    <mergeCell ref="I21:K21"/>
  </mergeCells>
  <conditionalFormatting sqref="E20:F20 C20">
    <cfRule type="expression" dxfId="110" priority="4">
      <formula>$C$20&lt;$C$19</formula>
    </cfRule>
    <cfRule type="expression" dxfId="109" priority="5">
      <formula>$C$20=$C$19</formula>
    </cfRule>
  </conditionalFormatting>
  <conditionalFormatting sqref="A19:K22">
    <cfRule type="expression" dxfId="108" priority="1">
      <formula>$K$18="No"</formula>
    </cfRule>
  </conditionalFormatting>
  <pageMargins left="0.7" right="0.7" top="0.75" bottom="0.75" header="0.3" footer="0.3"/>
  <pageSetup scale="98" orientation="portrait" r:id="rId1"/>
  <colBreaks count="1" manualBreakCount="1">
    <brk id="11" max="1048575" man="1"/>
  </colBreaks>
  <drawing r:id="rId2"/>
  <legacyDrawing r:id="rId3"/>
  <controls>
    <mc:AlternateContent xmlns:mc="http://schemas.openxmlformats.org/markup-compatibility/2006">
      <mc:Choice Requires="x14">
        <control shapeId="6163" r:id="rId4" name="OptionButton8">
          <controlPr defaultSize="0" autoLine="0" linkedCell="J18" r:id="rId5">
            <anchor moveWithCells="1">
              <from>
                <xdr:col>9</xdr:col>
                <xdr:colOff>12700</xdr:colOff>
                <xdr:row>17</xdr:row>
                <xdr:rowOff>0</xdr:rowOff>
              </from>
              <to>
                <xdr:col>9</xdr:col>
                <xdr:colOff>546100</xdr:colOff>
                <xdr:row>17</xdr:row>
                <xdr:rowOff>247650</xdr:rowOff>
              </to>
            </anchor>
          </controlPr>
        </control>
      </mc:Choice>
      <mc:Fallback>
        <control shapeId="6163" r:id="rId4" name="OptionButton8"/>
      </mc:Fallback>
    </mc:AlternateContent>
    <mc:AlternateContent xmlns:mc="http://schemas.openxmlformats.org/markup-compatibility/2006">
      <mc:Choice Requires="x14">
        <control shapeId="6162" r:id="rId6" name="OptionButton7">
          <controlPr defaultSize="0" autoLine="0" linkedCell="H18" r:id="rId7">
            <anchor moveWithCells="1">
              <from>
                <xdr:col>7</xdr:col>
                <xdr:colOff>12700</xdr:colOff>
                <xdr:row>17</xdr:row>
                <xdr:rowOff>12700</xdr:rowOff>
              </from>
              <to>
                <xdr:col>7</xdr:col>
                <xdr:colOff>546100</xdr:colOff>
                <xdr:row>18</xdr:row>
                <xdr:rowOff>6350</xdr:rowOff>
              </to>
            </anchor>
          </controlPr>
        </control>
      </mc:Choice>
      <mc:Fallback>
        <control shapeId="6162" r:id="rId6" name="OptionButton7"/>
      </mc:Fallback>
    </mc:AlternateContent>
    <mc:AlternateContent xmlns:mc="http://schemas.openxmlformats.org/markup-compatibility/2006">
      <mc:Choice Requires="x14">
        <control shapeId="6154" r:id="rId8" name="CheckList">
          <controlPr defaultSize="0" autoLine="0" autoPict="0" listFillRange="A31:A35" r:id="rId9">
            <anchor>
              <from>
                <xdr:col>0</xdr:col>
                <xdr:colOff>69850</xdr:colOff>
                <xdr:row>11</xdr:row>
                <xdr:rowOff>19050</xdr:rowOff>
              </from>
              <to>
                <xdr:col>3</xdr:col>
                <xdr:colOff>203200</xdr:colOff>
                <xdr:row>14</xdr:row>
                <xdr:rowOff>222250</xdr:rowOff>
              </to>
            </anchor>
          </controlPr>
        </control>
      </mc:Choice>
      <mc:Fallback>
        <control shapeId="6154" r:id="rId8" name="CheckList"/>
      </mc:Fallback>
    </mc:AlternateContent>
    <mc:AlternateContent xmlns:mc="http://schemas.openxmlformats.org/markup-compatibility/2006">
      <mc:Choice Requires="x14">
        <control shapeId="6155" r:id="rId10" name="OptionButton1">
          <controlPr defaultSize="0" autoLine="0" linkedCell="E12" r:id="rId11">
            <anchor>
              <from>
                <xdr:col>4</xdr:col>
                <xdr:colOff>19050</xdr:colOff>
                <xdr:row>11</xdr:row>
                <xdr:rowOff>31750</xdr:rowOff>
              </from>
              <to>
                <xdr:col>6</xdr:col>
                <xdr:colOff>476250</xdr:colOff>
                <xdr:row>12</xdr:row>
                <xdr:rowOff>25400</xdr:rowOff>
              </to>
            </anchor>
          </controlPr>
        </control>
      </mc:Choice>
      <mc:Fallback>
        <control shapeId="6155" r:id="rId10" name="OptionButton1"/>
      </mc:Fallback>
    </mc:AlternateContent>
    <mc:AlternateContent xmlns:mc="http://schemas.openxmlformats.org/markup-compatibility/2006">
      <mc:Choice Requires="x14">
        <control shapeId="6156" r:id="rId12" name="OptionButton2">
          <controlPr defaultSize="0" autoLine="0" linkedCell="E13" r:id="rId13">
            <anchor>
              <from>
                <xdr:col>4</xdr:col>
                <xdr:colOff>19050</xdr:colOff>
                <xdr:row>12</xdr:row>
                <xdr:rowOff>31750</xdr:rowOff>
              </from>
              <to>
                <xdr:col>6</xdr:col>
                <xdr:colOff>476250</xdr:colOff>
                <xdr:row>13</xdr:row>
                <xdr:rowOff>25400</xdr:rowOff>
              </to>
            </anchor>
          </controlPr>
        </control>
      </mc:Choice>
      <mc:Fallback>
        <control shapeId="6156" r:id="rId12" name="OptionButton2"/>
      </mc:Fallback>
    </mc:AlternateContent>
    <mc:AlternateContent xmlns:mc="http://schemas.openxmlformats.org/markup-compatibility/2006">
      <mc:Choice Requires="x14">
        <control shapeId="6157" r:id="rId14" name="OptionButton3">
          <controlPr defaultSize="0" autoLine="0" linkedCell="E14" r:id="rId15">
            <anchor>
              <from>
                <xdr:col>4</xdr:col>
                <xdr:colOff>19050</xdr:colOff>
                <xdr:row>13</xdr:row>
                <xdr:rowOff>38100</xdr:rowOff>
              </from>
              <to>
                <xdr:col>6</xdr:col>
                <xdr:colOff>476250</xdr:colOff>
                <xdr:row>14</xdr:row>
                <xdr:rowOff>31750</xdr:rowOff>
              </to>
            </anchor>
          </controlPr>
        </control>
      </mc:Choice>
      <mc:Fallback>
        <control shapeId="6157" r:id="rId14" name="OptionButton3"/>
      </mc:Fallback>
    </mc:AlternateContent>
    <mc:AlternateContent xmlns:mc="http://schemas.openxmlformats.org/markup-compatibility/2006">
      <mc:Choice Requires="x14">
        <control shapeId="6158" r:id="rId16" name="OptionButton4">
          <controlPr defaultSize="0" autoLine="0" linkedCell="I12" r:id="rId11">
            <anchor>
              <from>
                <xdr:col>8</xdr:col>
                <xdr:colOff>31750</xdr:colOff>
                <xdr:row>11</xdr:row>
                <xdr:rowOff>31750</xdr:rowOff>
              </from>
              <to>
                <xdr:col>10</xdr:col>
                <xdr:colOff>431800</xdr:colOff>
                <xdr:row>12</xdr:row>
                <xdr:rowOff>25400</xdr:rowOff>
              </to>
            </anchor>
          </controlPr>
        </control>
      </mc:Choice>
      <mc:Fallback>
        <control shapeId="6158" r:id="rId16" name="OptionButton4"/>
      </mc:Fallback>
    </mc:AlternateContent>
    <mc:AlternateContent xmlns:mc="http://schemas.openxmlformats.org/markup-compatibility/2006">
      <mc:Choice Requires="x14">
        <control shapeId="6159" r:id="rId17" name="OptionButton5">
          <controlPr defaultSize="0" autoLine="0" linkedCell="I13" r:id="rId18">
            <anchor>
              <from>
                <xdr:col>8</xdr:col>
                <xdr:colOff>31750</xdr:colOff>
                <xdr:row>12</xdr:row>
                <xdr:rowOff>38100</xdr:rowOff>
              </from>
              <to>
                <xdr:col>10</xdr:col>
                <xdr:colOff>431800</xdr:colOff>
                <xdr:row>13</xdr:row>
                <xdr:rowOff>31750</xdr:rowOff>
              </to>
            </anchor>
          </controlPr>
        </control>
      </mc:Choice>
      <mc:Fallback>
        <control shapeId="6159" r:id="rId17" name="OptionButton5"/>
      </mc:Fallback>
    </mc:AlternateContent>
    <mc:AlternateContent xmlns:mc="http://schemas.openxmlformats.org/markup-compatibility/2006">
      <mc:Choice Requires="x14">
        <control shapeId="6160" r:id="rId19" name="OptionButton6">
          <controlPr defaultSize="0" autoLine="0" linkedCell="I14" r:id="rId15">
            <anchor>
              <from>
                <xdr:col>8</xdr:col>
                <xdr:colOff>31750</xdr:colOff>
                <xdr:row>13</xdr:row>
                <xdr:rowOff>38100</xdr:rowOff>
              </from>
              <to>
                <xdr:col>10</xdr:col>
                <xdr:colOff>431800</xdr:colOff>
                <xdr:row>14</xdr:row>
                <xdr:rowOff>31750</xdr:rowOff>
              </to>
            </anchor>
          </controlPr>
        </control>
      </mc:Choice>
      <mc:Fallback>
        <control shapeId="6160" r:id="rId19" name="OptionButton6"/>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BAA1CE78-54D6-47E0-9A3B-882B34E1F9C4}">
          <x14:formula1>
            <xm:f>Form_Reference!$O$2:$O$300</xm:f>
          </x14:formula1>
          <xm:sqref>D21:F21</xm:sqref>
        </x14:dataValidation>
        <x14:dataValidation type="list" allowBlank="1" showInputMessage="1" showErrorMessage="1" xr:uid="{9B6A34E5-B91A-4F87-B7C5-3B01932EA3F8}">
          <x14:formula1>
            <xm:f>Form_Reference!$P$2:$P$6</xm:f>
          </x14:formula1>
          <xm:sqref>I20:K20</xm:sqref>
        </x14:dataValidation>
        <x14:dataValidation type="list" allowBlank="1" showInputMessage="1" showErrorMessage="1" xr:uid="{6B5A9DAF-AF0A-484E-833F-75DDB2AF99F2}">
          <x14:formula1>
            <xm:f>Form_Reference!$Q$2:$Q$5</xm:f>
          </x14:formula1>
          <xm:sqref>I21:K21</xm:sqref>
        </x14:dataValidation>
        <x14:dataValidation type="list" allowBlank="1" showInputMessage="1" showErrorMessage="1" xr:uid="{83131A86-D4EF-48EC-B92B-F9B0BF13A387}">
          <x14:formula1>
            <xm:f>Form_Reference!$S$2:$S$4</xm:f>
          </x14:formula1>
          <xm:sqref>C10:E10</xm:sqref>
        </x14:dataValidation>
        <x14:dataValidation type="list" allowBlank="1" showInputMessage="1" showErrorMessage="1" xr:uid="{07D3B754-8C14-4F81-99C9-4E16E6C3CF8E}">
          <x14:formula1>
            <xm:f>Form_Reference!$R$2:$R$7</xm:f>
          </x14:formula1>
          <xm:sqref>C9:E9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200B1-C327-47EA-AC87-75D429D92893}">
  <sheetPr codeName="Sheet7"/>
  <dimension ref="A1:T67"/>
  <sheetViews>
    <sheetView zoomScale="50" zoomScaleNormal="50" zoomScaleSheetLayoutView="50" zoomScalePageLayoutView="50" workbookViewId="0">
      <selection activeCell="B3" sqref="B3:D3"/>
    </sheetView>
  </sheetViews>
  <sheetFormatPr defaultColWidth="10.296875" defaultRowHeight="12.5"/>
  <cols>
    <col min="1" max="1" width="29.796875" style="170" customWidth="1"/>
    <col min="2" max="6" width="51.19921875" style="81" customWidth="1"/>
    <col min="7" max="7" width="18" style="81" customWidth="1"/>
    <col min="8" max="256" width="10.296875" style="81"/>
    <col min="257" max="257" width="29.796875" style="81" customWidth="1"/>
    <col min="258" max="262" width="51.19921875" style="81" customWidth="1"/>
    <col min="263" max="263" width="18" style="81" customWidth="1"/>
    <col min="264" max="512" width="10.296875" style="81"/>
    <col min="513" max="513" width="29.796875" style="81" customWidth="1"/>
    <col min="514" max="518" width="51.19921875" style="81" customWidth="1"/>
    <col min="519" max="519" width="18" style="81" customWidth="1"/>
    <col min="520" max="768" width="10.296875" style="81"/>
    <col min="769" max="769" width="29.796875" style="81" customWidth="1"/>
    <col min="770" max="774" width="51.19921875" style="81" customWidth="1"/>
    <col min="775" max="775" width="18" style="81" customWidth="1"/>
    <col min="776" max="1024" width="10.296875" style="81"/>
    <col min="1025" max="1025" width="29.796875" style="81" customWidth="1"/>
    <col min="1026" max="1030" width="51.19921875" style="81" customWidth="1"/>
    <col min="1031" max="1031" width="18" style="81" customWidth="1"/>
    <col min="1032" max="1280" width="10.296875" style="81"/>
    <col min="1281" max="1281" width="29.796875" style="81" customWidth="1"/>
    <col min="1282" max="1286" width="51.19921875" style="81" customWidth="1"/>
    <col min="1287" max="1287" width="18" style="81" customWidth="1"/>
    <col min="1288" max="1536" width="10.296875" style="81"/>
    <col min="1537" max="1537" width="29.796875" style="81" customWidth="1"/>
    <col min="1538" max="1542" width="51.19921875" style="81" customWidth="1"/>
    <col min="1543" max="1543" width="18" style="81" customWidth="1"/>
    <col min="1544" max="1792" width="10.296875" style="81"/>
    <col min="1793" max="1793" width="29.796875" style="81" customWidth="1"/>
    <col min="1794" max="1798" width="51.19921875" style="81" customWidth="1"/>
    <col min="1799" max="1799" width="18" style="81" customWidth="1"/>
    <col min="1800" max="2048" width="10.296875" style="81"/>
    <col min="2049" max="2049" width="29.796875" style="81" customWidth="1"/>
    <col min="2050" max="2054" width="51.19921875" style="81" customWidth="1"/>
    <col min="2055" max="2055" width="18" style="81" customWidth="1"/>
    <col min="2056" max="2304" width="10.296875" style="81"/>
    <col min="2305" max="2305" width="29.796875" style="81" customWidth="1"/>
    <col min="2306" max="2310" width="51.19921875" style="81" customWidth="1"/>
    <col min="2311" max="2311" width="18" style="81" customWidth="1"/>
    <col min="2312" max="2560" width="10.296875" style="81"/>
    <col min="2561" max="2561" width="29.796875" style="81" customWidth="1"/>
    <col min="2562" max="2566" width="51.19921875" style="81" customWidth="1"/>
    <col min="2567" max="2567" width="18" style="81" customWidth="1"/>
    <col min="2568" max="2816" width="10.296875" style="81"/>
    <col min="2817" max="2817" width="29.796875" style="81" customWidth="1"/>
    <col min="2818" max="2822" width="51.19921875" style="81" customWidth="1"/>
    <col min="2823" max="2823" width="18" style="81" customWidth="1"/>
    <col min="2824" max="3072" width="10.296875" style="81"/>
    <col min="3073" max="3073" width="29.796875" style="81" customWidth="1"/>
    <col min="3074" max="3078" width="51.19921875" style="81" customWidth="1"/>
    <col min="3079" max="3079" width="18" style="81" customWidth="1"/>
    <col min="3080" max="3328" width="10.296875" style="81"/>
    <col min="3329" max="3329" width="29.796875" style="81" customWidth="1"/>
    <col min="3330" max="3334" width="51.19921875" style="81" customWidth="1"/>
    <col min="3335" max="3335" width="18" style="81" customWidth="1"/>
    <col min="3336" max="3584" width="10.296875" style="81"/>
    <col min="3585" max="3585" width="29.796875" style="81" customWidth="1"/>
    <col min="3586" max="3590" width="51.19921875" style="81" customWidth="1"/>
    <col min="3591" max="3591" width="18" style="81" customWidth="1"/>
    <col min="3592" max="3840" width="10.296875" style="81"/>
    <col min="3841" max="3841" width="29.796875" style="81" customWidth="1"/>
    <col min="3842" max="3846" width="51.19921875" style="81" customWidth="1"/>
    <col min="3847" max="3847" width="18" style="81" customWidth="1"/>
    <col min="3848" max="4096" width="10.296875" style="81"/>
    <col min="4097" max="4097" width="29.796875" style="81" customWidth="1"/>
    <col min="4098" max="4102" width="51.19921875" style="81" customWidth="1"/>
    <col min="4103" max="4103" width="18" style="81" customWidth="1"/>
    <col min="4104" max="4352" width="10.296875" style="81"/>
    <col min="4353" max="4353" width="29.796875" style="81" customWidth="1"/>
    <col min="4354" max="4358" width="51.19921875" style="81" customWidth="1"/>
    <col min="4359" max="4359" width="18" style="81" customWidth="1"/>
    <col min="4360" max="4608" width="10.296875" style="81"/>
    <col min="4609" max="4609" width="29.796875" style="81" customWidth="1"/>
    <col min="4610" max="4614" width="51.19921875" style="81" customWidth="1"/>
    <col min="4615" max="4615" width="18" style="81" customWidth="1"/>
    <col min="4616" max="4864" width="10.296875" style="81"/>
    <col min="4865" max="4865" width="29.796875" style="81" customWidth="1"/>
    <col min="4866" max="4870" width="51.19921875" style="81" customWidth="1"/>
    <col min="4871" max="4871" width="18" style="81" customWidth="1"/>
    <col min="4872" max="5120" width="10.296875" style="81"/>
    <col min="5121" max="5121" width="29.796875" style="81" customWidth="1"/>
    <col min="5122" max="5126" width="51.19921875" style="81" customWidth="1"/>
    <col min="5127" max="5127" width="18" style="81" customWidth="1"/>
    <col min="5128" max="5376" width="10.296875" style="81"/>
    <col min="5377" max="5377" width="29.796875" style="81" customWidth="1"/>
    <col min="5378" max="5382" width="51.19921875" style="81" customWidth="1"/>
    <col min="5383" max="5383" width="18" style="81" customWidth="1"/>
    <col min="5384" max="5632" width="10.296875" style="81"/>
    <col min="5633" max="5633" width="29.796875" style="81" customWidth="1"/>
    <col min="5634" max="5638" width="51.19921875" style="81" customWidth="1"/>
    <col min="5639" max="5639" width="18" style="81" customWidth="1"/>
    <col min="5640" max="5888" width="10.296875" style="81"/>
    <col min="5889" max="5889" width="29.796875" style="81" customWidth="1"/>
    <col min="5890" max="5894" width="51.19921875" style="81" customWidth="1"/>
    <col min="5895" max="5895" width="18" style="81" customWidth="1"/>
    <col min="5896" max="6144" width="10.296875" style="81"/>
    <col min="6145" max="6145" width="29.796875" style="81" customWidth="1"/>
    <col min="6146" max="6150" width="51.19921875" style="81" customWidth="1"/>
    <col min="6151" max="6151" width="18" style="81" customWidth="1"/>
    <col min="6152" max="6400" width="10.296875" style="81"/>
    <col min="6401" max="6401" width="29.796875" style="81" customWidth="1"/>
    <col min="6402" max="6406" width="51.19921875" style="81" customWidth="1"/>
    <col min="6407" max="6407" width="18" style="81" customWidth="1"/>
    <col min="6408" max="6656" width="10.296875" style="81"/>
    <col min="6657" max="6657" width="29.796875" style="81" customWidth="1"/>
    <col min="6658" max="6662" width="51.19921875" style="81" customWidth="1"/>
    <col min="6663" max="6663" width="18" style="81" customWidth="1"/>
    <col min="6664" max="6912" width="10.296875" style="81"/>
    <col min="6913" max="6913" width="29.796875" style="81" customWidth="1"/>
    <col min="6914" max="6918" width="51.19921875" style="81" customWidth="1"/>
    <col min="6919" max="6919" width="18" style="81" customWidth="1"/>
    <col min="6920" max="7168" width="10.296875" style="81"/>
    <col min="7169" max="7169" width="29.796875" style="81" customWidth="1"/>
    <col min="7170" max="7174" width="51.19921875" style="81" customWidth="1"/>
    <col min="7175" max="7175" width="18" style="81" customWidth="1"/>
    <col min="7176" max="7424" width="10.296875" style="81"/>
    <col min="7425" max="7425" width="29.796875" style="81" customWidth="1"/>
    <col min="7426" max="7430" width="51.19921875" style="81" customWidth="1"/>
    <col min="7431" max="7431" width="18" style="81" customWidth="1"/>
    <col min="7432" max="7680" width="10.296875" style="81"/>
    <col min="7681" max="7681" width="29.796875" style="81" customWidth="1"/>
    <col min="7682" max="7686" width="51.19921875" style="81" customWidth="1"/>
    <col min="7687" max="7687" width="18" style="81" customWidth="1"/>
    <col min="7688" max="7936" width="10.296875" style="81"/>
    <col min="7937" max="7937" width="29.796875" style="81" customWidth="1"/>
    <col min="7938" max="7942" width="51.19921875" style="81" customWidth="1"/>
    <col min="7943" max="7943" width="18" style="81" customWidth="1"/>
    <col min="7944" max="8192" width="10.296875" style="81"/>
    <col min="8193" max="8193" width="29.796875" style="81" customWidth="1"/>
    <col min="8194" max="8198" width="51.19921875" style="81" customWidth="1"/>
    <col min="8199" max="8199" width="18" style="81" customWidth="1"/>
    <col min="8200" max="8448" width="10.296875" style="81"/>
    <col min="8449" max="8449" width="29.796875" style="81" customWidth="1"/>
    <col min="8450" max="8454" width="51.19921875" style="81" customWidth="1"/>
    <col min="8455" max="8455" width="18" style="81" customWidth="1"/>
    <col min="8456" max="8704" width="10.296875" style="81"/>
    <col min="8705" max="8705" width="29.796875" style="81" customWidth="1"/>
    <col min="8706" max="8710" width="51.19921875" style="81" customWidth="1"/>
    <col min="8711" max="8711" width="18" style="81" customWidth="1"/>
    <col min="8712" max="8960" width="10.296875" style="81"/>
    <col min="8961" max="8961" width="29.796875" style="81" customWidth="1"/>
    <col min="8962" max="8966" width="51.19921875" style="81" customWidth="1"/>
    <col min="8967" max="8967" width="18" style="81" customWidth="1"/>
    <col min="8968" max="9216" width="10.296875" style="81"/>
    <col min="9217" max="9217" width="29.796875" style="81" customWidth="1"/>
    <col min="9218" max="9222" width="51.19921875" style="81" customWidth="1"/>
    <col min="9223" max="9223" width="18" style="81" customWidth="1"/>
    <col min="9224" max="9472" width="10.296875" style="81"/>
    <col min="9473" max="9473" width="29.796875" style="81" customWidth="1"/>
    <col min="9474" max="9478" width="51.19921875" style="81" customWidth="1"/>
    <col min="9479" max="9479" width="18" style="81" customWidth="1"/>
    <col min="9480" max="9728" width="10.296875" style="81"/>
    <col min="9729" max="9729" width="29.796875" style="81" customWidth="1"/>
    <col min="9730" max="9734" width="51.19921875" style="81" customWidth="1"/>
    <col min="9735" max="9735" width="18" style="81" customWidth="1"/>
    <col min="9736" max="9984" width="10.296875" style="81"/>
    <col min="9985" max="9985" width="29.796875" style="81" customWidth="1"/>
    <col min="9986" max="9990" width="51.19921875" style="81" customWidth="1"/>
    <col min="9991" max="9991" width="18" style="81" customWidth="1"/>
    <col min="9992" max="10240" width="10.296875" style="81"/>
    <col min="10241" max="10241" width="29.796875" style="81" customWidth="1"/>
    <col min="10242" max="10246" width="51.19921875" style="81" customWidth="1"/>
    <col min="10247" max="10247" width="18" style="81" customWidth="1"/>
    <col min="10248" max="10496" width="10.296875" style="81"/>
    <col min="10497" max="10497" width="29.796875" style="81" customWidth="1"/>
    <col min="10498" max="10502" width="51.19921875" style="81" customWidth="1"/>
    <col min="10503" max="10503" width="18" style="81" customWidth="1"/>
    <col min="10504" max="10752" width="10.296875" style="81"/>
    <col min="10753" max="10753" width="29.796875" style="81" customWidth="1"/>
    <col min="10754" max="10758" width="51.19921875" style="81" customWidth="1"/>
    <col min="10759" max="10759" width="18" style="81" customWidth="1"/>
    <col min="10760" max="11008" width="10.296875" style="81"/>
    <col min="11009" max="11009" width="29.796875" style="81" customWidth="1"/>
    <col min="11010" max="11014" width="51.19921875" style="81" customWidth="1"/>
    <col min="11015" max="11015" width="18" style="81" customWidth="1"/>
    <col min="11016" max="11264" width="10.296875" style="81"/>
    <col min="11265" max="11265" width="29.796875" style="81" customWidth="1"/>
    <col min="11266" max="11270" width="51.19921875" style="81" customWidth="1"/>
    <col min="11271" max="11271" width="18" style="81" customWidth="1"/>
    <col min="11272" max="11520" width="10.296875" style="81"/>
    <col min="11521" max="11521" width="29.796875" style="81" customWidth="1"/>
    <col min="11522" max="11526" width="51.19921875" style="81" customWidth="1"/>
    <col min="11527" max="11527" width="18" style="81" customWidth="1"/>
    <col min="11528" max="11776" width="10.296875" style="81"/>
    <col min="11777" max="11777" width="29.796875" style="81" customWidth="1"/>
    <col min="11778" max="11782" width="51.19921875" style="81" customWidth="1"/>
    <col min="11783" max="11783" width="18" style="81" customWidth="1"/>
    <col min="11784" max="12032" width="10.296875" style="81"/>
    <col min="12033" max="12033" width="29.796875" style="81" customWidth="1"/>
    <col min="12034" max="12038" width="51.19921875" style="81" customWidth="1"/>
    <col min="12039" max="12039" width="18" style="81" customWidth="1"/>
    <col min="12040" max="12288" width="10.296875" style="81"/>
    <col min="12289" max="12289" width="29.796875" style="81" customWidth="1"/>
    <col min="12290" max="12294" width="51.19921875" style="81" customWidth="1"/>
    <col min="12295" max="12295" width="18" style="81" customWidth="1"/>
    <col min="12296" max="12544" width="10.296875" style="81"/>
    <col min="12545" max="12545" width="29.796875" style="81" customWidth="1"/>
    <col min="12546" max="12550" width="51.19921875" style="81" customWidth="1"/>
    <col min="12551" max="12551" width="18" style="81" customWidth="1"/>
    <col min="12552" max="12800" width="10.296875" style="81"/>
    <col min="12801" max="12801" width="29.796875" style="81" customWidth="1"/>
    <col min="12802" max="12806" width="51.19921875" style="81" customWidth="1"/>
    <col min="12807" max="12807" width="18" style="81" customWidth="1"/>
    <col min="12808" max="13056" width="10.296875" style="81"/>
    <col min="13057" max="13057" width="29.796875" style="81" customWidth="1"/>
    <col min="13058" max="13062" width="51.19921875" style="81" customWidth="1"/>
    <col min="13063" max="13063" width="18" style="81" customWidth="1"/>
    <col min="13064" max="13312" width="10.296875" style="81"/>
    <col min="13313" max="13313" width="29.796875" style="81" customWidth="1"/>
    <col min="13314" max="13318" width="51.19921875" style="81" customWidth="1"/>
    <col min="13319" max="13319" width="18" style="81" customWidth="1"/>
    <col min="13320" max="13568" width="10.296875" style="81"/>
    <col min="13569" max="13569" width="29.796875" style="81" customWidth="1"/>
    <col min="13570" max="13574" width="51.19921875" style="81" customWidth="1"/>
    <col min="13575" max="13575" width="18" style="81" customWidth="1"/>
    <col min="13576" max="13824" width="10.296875" style="81"/>
    <col min="13825" max="13825" width="29.796875" style="81" customWidth="1"/>
    <col min="13826" max="13830" width="51.19921875" style="81" customWidth="1"/>
    <col min="13831" max="13831" width="18" style="81" customWidth="1"/>
    <col min="13832" max="14080" width="10.296875" style="81"/>
    <col min="14081" max="14081" width="29.796875" style="81" customWidth="1"/>
    <col min="14082" max="14086" width="51.19921875" style="81" customWidth="1"/>
    <col min="14087" max="14087" width="18" style="81" customWidth="1"/>
    <col min="14088" max="14336" width="10.296875" style="81"/>
    <col min="14337" max="14337" width="29.796875" style="81" customWidth="1"/>
    <col min="14338" max="14342" width="51.19921875" style="81" customWidth="1"/>
    <col min="14343" max="14343" width="18" style="81" customWidth="1"/>
    <col min="14344" max="14592" width="10.296875" style="81"/>
    <col min="14593" max="14593" width="29.796875" style="81" customWidth="1"/>
    <col min="14594" max="14598" width="51.19921875" style="81" customWidth="1"/>
    <col min="14599" max="14599" width="18" style="81" customWidth="1"/>
    <col min="14600" max="14848" width="10.296875" style="81"/>
    <col min="14849" max="14849" width="29.796875" style="81" customWidth="1"/>
    <col min="14850" max="14854" width="51.19921875" style="81" customWidth="1"/>
    <col min="14855" max="14855" width="18" style="81" customWidth="1"/>
    <col min="14856" max="15104" width="10.296875" style="81"/>
    <col min="15105" max="15105" width="29.796875" style="81" customWidth="1"/>
    <col min="15106" max="15110" width="51.19921875" style="81" customWidth="1"/>
    <col min="15111" max="15111" width="18" style="81" customWidth="1"/>
    <col min="15112" max="15360" width="10.296875" style="81"/>
    <col min="15361" max="15361" width="29.796875" style="81" customWidth="1"/>
    <col min="15362" max="15366" width="51.19921875" style="81" customWidth="1"/>
    <col min="15367" max="15367" width="18" style="81" customWidth="1"/>
    <col min="15368" max="15616" width="10.296875" style="81"/>
    <col min="15617" max="15617" width="29.796875" style="81" customWidth="1"/>
    <col min="15618" max="15622" width="51.19921875" style="81" customWidth="1"/>
    <col min="15623" max="15623" width="18" style="81" customWidth="1"/>
    <col min="15624" max="15872" width="10.296875" style="81"/>
    <col min="15873" max="15873" width="29.796875" style="81" customWidth="1"/>
    <col min="15874" max="15878" width="51.19921875" style="81" customWidth="1"/>
    <col min="15879" max="15879" width="18" style="81" customWidth="1"/>
    <col min="15880" max="16128" width="10.296875" style="81"/>
    <col min="16129" max="16129" width="29.796875" style="81" customWidth="1"/>
    <col min="16130" max="16134" width="51.19921875" style="81" customWidth="1"/>
    <col min="16135" max="16135" width="18" style="81" customWidth="1"/>
    <col min="16136" max="16384" width="10.296875" style="81"/>
  </cols>
  <sheetData>
    <row r="1" spans="1:9" ht="80.5" customHeight="1">
      <c r="A1" s="339" t="s">
        <v>959</v>
      </c>
      <c r="B1" s="340"/>
      <c r="C1" s="340"/>
      <c r="D1" s="340"/>
      <c r="E1" s="340"/>
      <c r="F1" s="340"/>
      <c r="G1" s="340"/>
    </row>
    <row r="2" spans="1:9" ht="14.15" customHeight="1">
      <c r="A2" s="341"/>
      <c r="B2" s="342"/>
      <c r="C2" s="342"/>
      <c r="D2" s="342"/>
      <c r="E2" s="342"/>
      <c r="F2" s="342"/>
      <c r="G2" s="343"/>
    </row>
    <row r="3" spans="1:9" s="85" customFormat="1" ht="44.15" customHeight="1">
      <c r="A3" s="83" t="s">
        <v>960</v>
      </c>
      <c r="B3" s="344" t="s">
        <v>1101</v>
      </c>
      <c r="C3" s="344"/>
      <c r="D3" s="344"/>
      <c r="E3" s="84" t="s">
        <v>0</v>
      </c>
      <c r="F3" s="345" t="s">
        <v>956</v>
      </c>
      <c r="G3" s="346"/>
    </row>
    <row r="4" spans="1:9" s="85" customFormat="1" ht="35.5" customHeight="1">
      <c r="A4" s="83" t="s">
        <v>961</v>
      </c>
      <c r="B4" s="344" t="s">
        <v>956</v>
      </c>
      <c r="C4" s="344"/>
      <c r="D4" s="344"/>
      <c r="E4" s="83" t="s">
        <v>962</v>
      </c>
      <c r="F4" s="347" t="s">
        <v>956</v>
      </c>
      <c r="G4" s="348"/>
    </row>
    <row r="5" spans="1:9" s="85" customFormat="1" ht="35.5" customHeight="1">
      <c r="A5" s="349" t="s">
        <v>963</v>
      </c>
      <c r="B5" s="350"/>
      <c r="C5" s="351"/>
      <c r="D5" s="352"/>
      <c r="E5" s="86" t="s">
        <v>964</v>
      </c>
      <c r="F5" s="353"/>
      <c r="G5" s="354"/>
    </row>
    <row r="6" spans="1:9" s="85" customFormat="1" ht="29.15" customHeight="1">
      <c r="A6" s="355" t="s">
        <v>965</v>
      </c>
      <c r="B6" s="356"/>
      <c r="C6" s="87" t="s">
        <v>966</v>
      </c>
      <c r="D6" s="88" t="s">
        <v>710</v>
      </c>
      <c r="E6" s="89" t="s">
        <v>711</v>
      </c>
      <c r="F6" s="357"/>
      <c r="G6" s="358"/>
    </row>
    <row r="7" spans="1:9" s="85" customFormat="1" ht="29.15" customHeight="1">
      <c r="A7" s="355" t="s">
        <v>967</v>
      </c>
      <c r="B7" s="356"/>
      <c r="C7" s="87" t="s">
        <v>966</v>
      </c>
      <c r="D7" s="88" t="s">
        <v>710</v>
      </c>
      <c r="E7" s="89" t="s">
        <v>711</v>
      </c>
      <c r="F7" s="359"/>
      <c r="G7" s="360"/>
    </row>
    <row r="8" spans="1:9" ht="72.650000000000006" customHeight="1" thickBot="1">
      <c r="A8" s="363" t="s">
        <v>968</v>
      </c>
      <c r="B8" s="364"/>
      <c r="C8" s="364"/>
      <c r="D8" s="364"/>
      <c r="E8" s="364"/>
      <c r="F8" s="365"/>
      <c r="G8" s="90" t="s">
        <v>969</v>
      </c>
    </row>
    <row r="9" spans="1:9" ht="33.75" customHeight="1" thickBot="1">
      <c r="A9" s="91" t="s">
        <v>970</v>
      </c>
      <c r="B9" s="91" t="s">
        <v>971</v>
      </c>
      <c r="C9" s="91" t="s">
        <v>972</v>
      </c>
      <c r="D9" s="91" t="s">
        <v>973</v>
      </c>
      <c r="E9" s="91" t="s">
        <v>974</v>
      </c>
      <c r="F9" s="91" t="s">
        <v>975</v>
      </c>
      <c r="G9" s="92" t="s">
        <v>976</v>
      </c>
    </row>
    <row r="10" spans="1:9" ht="128.25" customHeight="1" thickBot="1">
      <c r="A10" s="93" t="s">
        <v>977</v>
      </c>
      <c r="B10" s="94" t="s">
        <v>978</v>
      </c>
      <c r="C10" s="95" t="s">
        <v>979</v>
      </c>
      <c r="D10" s="96" t="s">
        <v>980</v>
      </c>
      <c r="E10" s="97" t="s">
        <v>981</v>
      </c>
      <c r="F10" s="98" t="s">
        <v>982</v>
      </c>
      <c r="G10" s="99"/>
      <c r="H10" s="100"/>
      <c r="I10" s="101"/>
    </row>
    <row r="11" spans="1:9" ht="131.5" customHeight="1" thickBot="1">
      <c r="A11" s="102" t="s">
        <v>983</v>
      </c>
      <c r="B11" s="103" t="s">
        <v>984</v>
      </c>
      <c r="C11" s="104" t="s">
        <v>985</v>
      </c>
      <c r="D11" s="105" t="s">
        <v>986</v>
      </c>
      <c r="E11" s="106" t="s">
        <v>987</v>
      </c>
      <c r="F11" s="107" t="s">
        <v>988</v>
      </c>
      <c r="G11" s="99"/>
      <c r="H11" s="100"/>
      <c r="I11" s="101"/>
    </row>
    <row r="12" spans="1:9" ht="192" customHeight="1" thickBot="1">
      <c r="A12" s="93" t="s">
        <v>989</v>
      </c>
      <c r="B12" s="94" t="s">
        <v>990</v>
      </c>
      <c r="C12" s="95" t="s">
        <v>991</v>
      </c>
      <c r="D12" s="96" t="s">
        <v>992</v>
      </c>
      <c r="E12" s="97" t="s">
        <v>993</v>
      </c>
      <c r="F12" s="98" t="s">
        <v>994</v>
      </c>
      <c r="G12" s="99"/>
      <c r="H12" s="100"/>
      <c r="I12" s="101"/>
    </row>
    <row r="13" spans="1:9" ht="51.65" customHeight="1" thickBot="1">
      <c r="A13" s="366" t="s">
        <v>995</v>
      </c>
      <c r="B13" s="108" t="s">
        <v>996</v>
      </c>
      <c r="C13" s="109" t="s">
        <v>997</v>
      </c>
      <c r="D13" s="110" t="s">
        <v>998</v>
      </c>
      <c r="E13" s="111" t="s">
        <v>999</v>
      </c>
      <c r="F13" s="112" t="s">
        <v>1000</v>
      </c>
      <c r="G13" s="368"/>
      <c r="H13" s="100"/>
      <c r="I13" s="101"/>
    </row>
    <row r="14" spans="1:9" ht="93" customHeight="1">
      <c r="A14" s="367"/>
      <c r="B14" s="113" t="s">
        <v>1001</v>
      </c>
      <c r="C14" s="114" t="s">
        <v>1002</v>
      </c>
      <c r="D14" s="115" t="s">
        <v>1003</v>
      </c>
      <c r="E14" s="116" t="s">
        <v>1004</v>
      </c>
      <c r="F14" s="117" t="s">
        <v>1005</v>
      </c>
      <c r="G14" s="369"/>
      <c r="H14" s="100"/>
      <c r="I14" s="101"/>
    </row>
    <row r="15" spans="1:9" ht="34.5" customHeight="1">
      <c r="A15" s="367"/>
      <c r="B15" s="118" t="s">
        <v>1006</v>
      </c>
      <c r="C15" s="119" t="s">
        <v>1006</v>
      </c>
      <c r="D15" s="120" t="s">
        <v>1006</v>
      </c>
      <c r="E15" s="121" t="s">
        <v>1006</v>
      </c>
      <c r="F15" s="122" t="s">
        <v>1006</v>
      </c>
      <c r="G15" s="369"/>
      <c r="H15" s="100"/>
      <c r="I15" s="101"/>
    </row>
    <row r="16" spans="1:9" ht="93" customHeight="1">
      <c r="A16" s="367"/>
      <c r="B16" s="123" t="s">
        <v>1007</v>
      </c>
      <c r="C16" s="371" t="s">
        <v>1008</v>
      </c>
      <c r="D16" s="124" t="s">
        <v>1009</v>
      </c>
      <c r="E16" s="125" t="s">
        <v>1010</v>
      </c>
      <c r="F16" s="373" t="s">
        <v>1011</v>
      </c>
      <c r="G16" s="369"/>
      <c r="H16" s="100"/>
      <c r="I16" s="101"/>
    </row>
    <row r="17" spans="1:20" ht="27" customHeight="1">
      <c r="A17" s="367"/>
      <c r="B17" s="118" t="s">
        <v>1006</v>
      </c>
      <c r="C17" s="372"/>
      <c r="D17" s="120" t="s">
        <v>1006</v>
      </c>
      <c r="E17" s="121" t="s">
        <v>1006</v>
      </c>
      <c r="F17" s="374"/>
      <c r="G17" s="369"/>
      <c r="H17" s="100"/>
      <c r="I17" s="101"/>
    </row>
    <row r="18" spans="1:20" ht="203.25" customHeight="1" thickBot="1">
      <c r="A18" s="367"/>
      <c r="B18" s="126" t="s">
        <v>1012</v>
      </c>
      <c r="C18" s="127"/>
      <c r="D18" s="128" t="s">
        <v>1013</v>
      </c>
      <c r="E18" s="129" t="s">
        <v>1014</v>
      </c>
      <c r="F18" s="375"/>
      <c r="G18" s="370"/>
      <c r="H18" s="100"/>
      <c r="I18" s="101"/>
    </row>
    <row r="19" spans="1:20" ht="96" customHeight="1" thickBot="1">
      <c r="A19" s="376" t="s">
        <v>1015</v>
      </c>
      <c r="B19" s="130" t="s">
        <v>1016</v>
      </c>
      <c r="C19" s="131" t="s">
        <v>1017</v>
      </c>
      <c r="D19" s="132" t="s">
        <v>1018</v>
      </c>
      <c r="E19" s="133" t="s">
        <v>1019</v>
      </c>
      <c r="F19" s="134" t="s">
        <v>1020</v>
      </c>
      <c r="G19" s="368"/>
      <c r="H19" s="100"/>
      <c r="I19" s="101"/>
    </row>
    <row r="20" spans="1:20" ht="121.5" customHeight="1">
      <c r="A20" s="377"/>
      <c r="B20" s="381" t="s">
        <v>1021</v>
      </c>
      <c r="C20" s="383" t="s">
        <v>1022</v>
      </c>
      <c r="D20" s="385" t="s">
        <v>1023</v>
      </c>
      <c r="E20" s="386" t="s">
        <v>1024</v>
      </c>
      <c r="F20" s="387" t="s">
        <v>1025</v>
      </c>
      <c r="G20" s="379"/>
      <c r="H20" s="100"/>
      <c r="I20" s="101"/>
    </row>
    <row r="21" spans="1:20" ht="34.5" customHeight="1" thickBot="1">
      <c r="A21" s="378"/>
      <c r="B21" s="382"/>
      <c r="C21" s="384"/>
      <c r="D21" s="384"/>
      <c r="E21" s="384"/>
      <c r="F21" s="388"/>
      <c r="G21" s="380"/>
      <c r="H21" s="100"/>
      <c r="I21" s="101"/>
    </row>
    <row r="22" spans="1:20" ht="214.5" customHeight="1" thickBot="1">
      <c r="A22" s="135" t="s">
        <v>1026</v>
      </c>
      <c r="B22" s="94" t="s">
        <v>1027</v>
      </c>
      <c r="C22" s="95" t="s">
        <v>1028</v>
      </c>
      <c r="D22" s="96" t="s">
        <v>1029</v>
      </c>
      <c r="E22" s="97" t="s">
        <v>1030</v>
      </c>
      <c r="F22" s="98" t="s">
        <v>1031</v>
      </c>
      <c r="G22" s="99"/>
      <c r="H22" s="100"/>
      <c r="I22" s="101"/>
    </row>
    <row r="23" spans="1:20" ht="89.5" customHeight="1" thickBot="1">
      <c r="A23" s="389" t="s">
        <v>1032</v>
      </c>
      <c r="B23" s="389"/>
      <c r="C23" s="389"/>
      <c r="D23" s="389"/>
      <c r="E23" s="389"/>
      <c r="F23" s="389"/>
      <c r="G23" s="389"/>
      <c r="H23" s="100"/>
      <c r="I23" s="101"/>
    </row>
    <row r="24" spans="1:20" ht="58.4" customHeight="1" thickBot="1">
      <c r="A24" s="91" t="s">
        <v>970</v>
      </c>
      <c r="B24" s="91" t="s">
        <v>971</v>
      </c>
      <c r="C24" s="91" t="s">
        <v>972</v>
      </c>
      <c r="D24" s="91" t="s">
        <v>973</v>
      </c>
      <c r="E24" s="91" t="s">
        <v>974</v>
      </c>
      <c r="F24" s="91" t="s">
        <v>975</v>
      </c>
      <c r="G24" s="92" t="s">
        <v>976</v>
      </c>
      <c r="H24" s="100"/>
      <c r="I24" s="101"/>
      <c r="P24" s="136"/>
      <c r="Q24" s="137"/>
      <c r="R24" s="136"/>
      <c r="S24" s="136"/>
      <c r="T24" s="136"/>
    </row>
    <row r="25" spans="1:20" ht="237.75" customHeight="1" thickBot="1">
      <c r="A25" s="135" t="s">
        <v>1033</v>
      </c>
      <c r="B25" s="94" t="s">
        <v>1034</v>
      </c>
      <c r="C25" s="95" t="s">
        <v>1035</v>
      </c>
      <c r="D25" s="96" t="s">
        <v>1036</v>
      </c>
      <c r="E25" s="97" t="s">
        <v>1037</v>
      </c>
      <c r="F25" s="98" t="s">
        <v>1038</v>
      </c>
      <c r="G25" s="99"/>
      <c r="H25" s="100"/>
      <c r="I25" s="101"/>
    </row>
    <row r="26" spans="1:20" ht="155.25" customHeight="1" thickBot="1">
      <c r="A26" s="390" t="s">
        <v>1039</v>
      </c>
      <c r="B26" s="138" t="s">
        <v>1040</v>
      </c>
      <c r="C26" s="139" t="s">
        <v>1041</v>
      </c>
      <c r="D26" s="140" t="s">
        <v>1042</v>
      </c>
      <c r="E26" s="141" t="s">
        <v>1043</v>
      </c>
      <c r="F26" s="142" t="s">
        <v>1044</v>
      </c>
      <c r="G26" s="379"/>
      <c r="H26" s="100"/>
      <c r="I26" s="101"/>
      <c r="M26" s="361"/>
    </row>
    <row r="27" spans="1:20" ht="126.75" customHeight="1" thickBot="1">
      <c r="A27" s="391"/>
      <c r="B27" s="108" t="s">
        <v>1045</v>
      </c>
      <c r="C27" s="109" t="s">
        <v>1046</v>
      </c>
      <c r="D27" s="110" t="s">
        <v>1047</v>
      </c>
      <c r="E27" s="111" t="s">
        <v>1048</v>
      </c>
      <c r="F27" s="112" t="s">
        <v>1049</v>
      </c>
      <c r="G27" s="369"/>
      <c r="H27" s="100"/>
      <c r="I27" s="101"/>
      <c r="M27" s="361"/>
    </row>
    <row r="28" spans="1:20" ht="96.75" customHeight="1" thickBot="1">
      <c r="A28" s="391"/>
      <c r="B28" s="138" t="s">
        <v>1050</v>
      </c>
      <c r="C28" s="139"/>
      <c r="D28" s="140" t="s">
        <v>1051</v>
      </c>
      <c r="E28" s="141"/>
      <c r="F28" s="142" t="s">
        <v>1052</v>
      </c>
      <c r="G28" s="369"/>
      <c r="H28" s="100"/>
      <c r="I28" s="101"/>
      <c r="M28" s="362"/>
    </row>
    <row r="29" spans="1:20" ht="93.75" customHeight="1" thickBot="1">
      <c r="A29" s="392"/>
      <c r="B29" s="143" t="s">
        <v>1053</v>
      </c>
      <c r="C29" s="144" t="s">
        <v>1054</v>
      </c>
      <c r="D29" s="145" t="s">
        <v>1055</v>
      </c>
      <c r="E29" s="146" t="s">
        <v>1056</v>
      </c>
      <c r="F29" s="147" t="s">
        <v>1057</v>
      </c>
      <c r="G29" s="370"/>
      <c r="H29" s="100"/>
      <c r="I29" s="101"/>
      <c r="M29" s="362"/>
    </row>
    <row r="30" spans="1:20" ht="186.75" customHeight="1" thickBot="1">
      <c r="A30" s="93" t="s">
        <v>1058</v>
      </c>
      <c r="B30" s="94" t="s">
        <v>1059</v>
      </c>
      <c r="C30" s="95" t="s">
        <v>1060</v>
      </c>
      <c r="D30" s="96" t="s">
        <v>1061</v>
      </c>
      <c r="E30" s="97" t="s">
        <v>1062</v>
      </c>
      <c r="F30" s="98" t="s">
        <v>1063</v>
      </c>
      <c r="G30" s="99"/>
      <c r="M30" s="362"/>
    </row>
    <row r="31" spans="1:20" ht="204.75" customHeight="1" thickBot="1">
      <c r="A31" s="396" t="s">
        <v>1064</v>
      </c>
      <c r="B31" s="108" t="s">
        <v>1065</v>
      </c>
      <c r="C31" s="109" t="s">
        <v>1066</v>
      </c>
      <c r="D31" s="110" t="s">
        <v>1067</v>
      </c>
      <c r="E31" s="111" t="s">
        <v>1068</v>
      </c>
      <c r="F31" s="112" t="s">
        <v>1069</v>
      </c>
      <c r="G31" s="368"/>
    </row>
    <row r="32" spans="1:20" ht="159.75" customHeight="1" thickBot="1">
      <c r="A32" s="390"/>
      <c r="B32" s="138" t="s">
        <v>1070</v>
      </c>
      <c r="C32" s="139" t="s">
        <v>1071</v>
      </c>
      <c r="D32" s="140" t="s">
        <v>1072</v>
      </c>
      <c r="E32" s="141" t="s">
        <v>1073</v>
      </c>
      <c r="F32" s="142" t="s">
        <v>1074</v>
      </c>
      <c r="G32" s="379"/>
    </row>
    <row r="33" spans="1:13" ht="200.15" customHeight="1" thickBot="1">
      <c r="A33" s="390"/>
      <c r="B33" s="148" t="s">
        <v>1075</v>
      </c>
      <c r="C33" s="149" t="s">
        <v>1076</v>
      </c>
      <c r="D33" s="150" t="s">
        <v>1077</v>
      </c>
      <c r="E33" s="151" t="s">
        <v>1078</v>
      </c>
      <c r="F33" s="152" t="s">
        <v>1079</v>
      </c>
      <c r="G33" s="379"/>
    </row>
    <row r="34" spans="1:13" ht="94.5" customHeight="1" thickBot="1">
      <c r="A34" s="392"/>
      <c r="B34" s="153" t="s">
        <v>1080</v>
      </c>
      <c r="C34" s="154" t="s">
        <v>1081</v>
      </c>
      <c r="D34" s="155" t="s">
        <v>1082</v>
      </c>
      <c r="E34" s="156" t="s">
        <v>1083</v>
      </c>
      <c r="F34" s="157" t="s">
        <v>1084</v>
      </c>
      <c r="G34" s="370"/>
      <c r="H34" s="158"/>
    </row>
    <row r="35" spans="1:13" ht="60.75" customHeight="1" thickBot="1">
      <c r="A35" s="397" t="s">
        <v>1085</v>
      </c>
      <c r="B35" s="397"/>
      <c r="C35" s="397"/>
      <c r="D35" s="397"/>
      <c r="E35" s="397"/>
      <c r="F35" s="397"/>
      <c r="G35" s="398"/>
    </row>
    <row r="36" spans="1:13" ht="44.15" customHeight="1" thickBot="1">
      <c r="A36" s="159" t="s">
        <v>1086</v>
      </c>
      <c r="B36" s="159" t="s">
        <v>1087</v>
      </c>
      <c r="C36" s="399" t="s">
        <v>1088</v>
      </c>
      <c r="D36" s="399"/>
      <c r="E36" s="399"/>
      <c r="F36" s="400" t="s">
        <v>1089</v>
      </c>
      <c r="G36" s="402" t="str">
        <f>IF(K36&gt;=10,K36,"")</f>
        <v/>
      </c>
      <c r="K36" s="160">
        <f>(G10+G11+G12+G13+G19+G22+G25+G26+G30+G31)</f>
        <v>0</v>
      </c>
    </row>
    <row r="37" spans="1:13" ht="25" customHeight="1" thickBot="1">
      <c r="A37" s="161" t="s">
        <v>1090</v>
      </c>
      <c r="B37" s="161">
        <v>5</v>
      </c>
      <c r="C37" s="404" t="s">
        <v>1091</v>
      </c>
      <c r="D37" s="404"/>
      <c r="E37" s="404"/>
      <c r="F37" s="401"/>
      <c r="G37" s="403"/>
    </row>
    <row r="38" spans="1:13" ht="25" customHeight="1" thickBot="1">
      <c r="A38" s="161" t="s">
        <v>1092</v>
      </c>
      <c r="B38" s="161">
        <v>4</v>
      </c>
      <c r="C38" s="404" t="s">
        <v>1093</v>
      </c>
      <c r="D38" s="404"/>
      <c r="E38" s="404"/>
      <c r="F38" s="162"/>
      <c r="G38" s="82"/>
    </row>
    <row r="39" spans="1:13" ht="25" customHeight="1" thickBot="1">
      <c r="A39" s="161" t="s">
        <v>1094</v>
      </c>
      <c r="B39" s="161">
        <v>3</v>
      </c>
      <c r="C39" s="404" t="s">
        <v>1095</v>
      </c>
      <c r="D39" s="404"/>
      <c r="E39" s="404"/>
      <c r="F39" s="408"/>
      <c r="G39" s="409"/>
    </row>
    <row r="40" spans="1:13" ht="25" customHeight="1" thickBot="1">
      <c r="A40" s="163" t="s">
        <v>1096</v>
      </c>
      <c r="B40" s="161">
        <v>2</v>
      </c>
      <c r="C40" s="404" t="s">
        <v>1097</v>
      </c>
      <c r="D40" s="404"/>
      <c r="E40" s="404"/>
      <c r="F40" s="408"/>
      <c r="G40" s="409"/>
    </row>
    <row r="41" spans="1:13" ht="25" customHeight="1" thickBot="1">
      <c r="A41" s="164" t="s">
        <v>1098</v>
      </c>
      <c r="B41" s="165">
        <v>1</v>
      </c>
      <c r="C41" s="404" t="s">
        <v>1099</v>
      </c>
      <c r="D41" s="404"/>
      <c r="E41" s="404"/>
      <c r="F41" s="408"/>
      <c r="G41" s="409"/>
      <c r="L41" s="393"/>
      <c r="M41" s="394"/>
    </row>
    <row r="42" spans="1:13" ht="3.65" customHeight="1">
      <c r="A42" s="82"/>
      <c r="B42" s="82"/>
      <c r="C42" s="82"/>
      <c r="D42" s="82"/>
      <c r="E42" s="82"/>
      <c r="F42" s="82"/>
      <c r="G42" s="82"/>
      <c r="L42" s="395"/>
      <c r="M42" s="394"/>
    </row>
    <row r="43" spans="1:13" ht="30" customHeight="1">
      <c r="A43" s="405" t="s">
        <v>1100</v>
      </c>
      <c r="B43" s="405"/>
      <c r="C43" s="405"/>
      <c r="D43" s="405"/>
      <c r="E43" s="405"/>
      <c r="F43" s="405"/>
      <c r="G43" s="405"/>
    </row>
    <row r="44" spans="1:13" ht="30" customHeight="1">
      <c r="A44" s="406"/>
      <c r="B44" s="407"/>
      <c r="C44" s="407"/>
      <c r="D44" s="407"/>
      <c r="E44" s="407"/>
      <c r="F44" s="407"/>
      <c r="G44" s="407"/>
    </row>
    <row r="45" spans="1:13" ht="141" customHeight="1">
      <c r="A45" s="407"/>
      <c r="B45" s="407"/>
      <c r="C45" s="407"/>
      <c r="D45" s="407"/>
      <c r="E45" s="407"/>
      <c r="F45" s="407"/>
      <c r="G45" s="407"/>
    </row>
    <row r="46" spans="1:13" ht="49.5" customHeight="1">
      <c r="A46" s="407"/>
      <c r="B46" s="407"/>
      <c r="C46" s="407"/>
      <c r="D46" s="407"/>
      <c r="E46" s="407"/>
      <c r="F46" s="407"/>
      <c r="G46" s="407"/>
    </row>
    <row r="47" spans="1:13" ht="12" hidden="1" customHeight="1">
      <c r="A47" s="166"/>
      <c r="B47" s="167"/>
      <c r="C47" s="167"/>
      <c r="D47" s="167"/>
      <c r="E47" s="167"/>
      <c r="F47" s="167"/>
      <c r="G47" s="168"/>
    </row>
    <row r="48" spans="1:13" ht="69.75" customHeight="1">
      <c r="A48" s="82"/>
      <c r="B48" s="82"/>
      <c r="C48" s="82"/>
      <c r="D48" s="82"/>
      <c r="E48" s="82"/>
      <c r="F48" s="82"/>
      <c r="G48" s="82"/>
    </row>
    <row r="49" spans="1:7" ht="2.5" customHeight="1">
      <c r="A49" s="169"/>
      <c r="B49" s="169"/>
      <c r="C49" s="169"/>
      <c r="D49" s="169"/>
      <c r="E49" s="169"/>
      <c r="F49" s="169"/>
      <c r="G49" s="169"/>
    </row>
    <row r="50" spans="1:7">
      <c r="A50" s="81"/>
    </row>
    <row r="51" spans="1:7">
      <c r="A51" s="81"/>
    </row>
    <row r="52" spans="1:7">
      <c r="A52" s="81"/>
    </row>
    <row r="53" spans="1:7">
      <c r="A53" s="81"/>
    </row>
    <row r="54" spans="1:7">
      <c r="A54" s="81"/>
    </row>
    <row r="55" spans="1:7">
      <c r="A55" s="81"/>
    </row>
    <row r="56" spans="1:7">
      <c r="A56" s="81"/>
    </row>
    <row r="57" spans="1:7">
      <c r="A57" s="81"/>
    </row>
    <row r="58" spans="1:7">
      <c r="A58" s="81"/>
    </row>
    <row r="59" spans="1:7">
      <c r="A59" s="81"/>
    </row>
    <row r="60" spans="1:7">
      <c r="A60" s="81"/>
    </row>
    <row r="61" spans="1:7">
      <c r="A61" s="81"/>
    </row>
    <row r="62" spans="1:7">
      <c r="A62" s="81"/>
    </row>
    <row r="63" spans="1:7">
      <c r="A63" s="81"/>
    </row>
    <row r="64" spans="1:7">
      <c r="A64" s="81"/>
    </row>
    <row r="65" spans="1:1">
      <c r="A65" s="81"/>
    </row>
    <row r="66" spans="1:1">
      <c r="A66" s="81"/>
    </row>
    <row r="67" spans="1:1">
      <c r="A67" s="81"/>
    </row>
  </sheetData>
  <sheetProtection password="CB7B" sheet="1" selectLockedCells="1"/>
  <mergeCells count="43">
    <mergeCell ref="A43:G43"/>
    <mergeCell ref="A44:G46"/>
    <mergeCell ref="C38:E38"/>
    <mergeCell ref="C39:E39"/>
    <mergeCell ref="F39:G41"/>
    <mergeCell ref="C40:E40"/>
    <mergeCell ref="C41:E41"/>
    <mergeCell ref="L41:M42"/>
    <mergeCell ref="A31:A34"/>
    <mergeCell ref="G31:G34"/>
    <mergeCell ref="A35:G35"/>
    <mergeCell ref="C36:E36"/>
    <mergeCell ref="F36:F37"/>
    <mergeCell ref="G36:G37"/>
    <mergeCell ref="C37:E37"/>
    <mergeCell ref="M26:M30"/>
    <mergeCell ref="A8:F8"/>
    <mergeCell ref="A13:A18"/>
    <mergeCell ref="G13:G18"/>
    <mergeCell ref="C16:C17"/>
    <mergeCell ref="F16:F18"/>
    <mergeCell ref="A19:A21"/>
    <mergeCell ref="G19:G21"/>
    <mergeCell ref="B20:B21"/>
    <mergeCell ref="C20:C21"/>
    <mergeCell ref="D20:D21"/>
    <mergeCell ref="E20:E21"/>
    <mergeCell ref="F20:F21"/>
    <mergeCell ref="A23:G23"/>
    <mergeCell ref="A26:A29"/>
    <mergeCell ref="G26:G29"/>
    <mergeCell ref="A5:B5"/>
    <mergeCell ref="C5:D5"/>
    <mergeCell ref="F5:G5"/>
    <mergeCell ref="A6:B6"/>
    <mergeCell ref="F6:G7"/>
    <mergeCell ref="A7:B7"/>
    <mergeCell ref="A1:G1"/>
    <mergeCell ref="A2:G2"/>
    <mergeCell ref="B3:D3"/>
    <mergeCell ref="F3:G3"/>
    <mergeCell ref="B4:D4"/>
    <mergeCell ref="F4:G4"/>
  </mergeCells>
  <printOptions horizontalCentered="1" verticalCentered="1"/>
  <pageMargins left="0.22" right="0.25" top="0.5" bottom="0.75" header="0.3" footer="0.3"/>
  <pageSetup scale="36" fitToWidth="2" fitToHeight="2" orientation="portrait" r:id="rId1"/>
  <headerFooter alignWithMargins="0">
    <oddHeader xml:space="preserve">&amp;L&amp;16U.S. Department of Agriculture
Natural Resources Conservation Service&amp;R&amp;12 &amp;"Arial,Bold"&amp;16 &amp;"Arial,Regular"&amp;12
</oddHeader>
    <oddFooter>&amp;R&amp;D</oddFooter>
  </headerFooter>
  <rowBreaks count="1" manualBreakCount="1">
    <brk id="23" max="8" man="1"/>
  </rowBreaks>
  <drawing r:id="rId2"/>
  <legacyDrawing r:id="rId3"/>
  <controls>
    <mc:AlternateContent xmlns:mc="http://schemas.openxmlformats.org/markup-compatibility/2006">
      <mc:Choice Requires="x14">
        <control shapeId="21511" r:id="rId4" name="CommandButton1">
          <controlPr defaultSize="0" print="0" autoLine="0" r:id="rId5">
            <anchor moveWithCells="1">
              <from>
                <xdr:col>10</xdr:col>
                <xdr:colOff>203200</xdr:colOff>
                <xdr:row>2</xdr:row>
                <xdr:rowOff>431800</xdr:rowOff>
              </from>
              <to>
                <xdr:col>15</xdr:col>
                <xdr:colOff>209550</xdr:colOff>
                <xdr:row>6</xdr:row>
                <xdr:rowOff>19050</xdr:rowOff>
              </to>
            </anchor>
          </controlPr>
        </control>
      </mc:Choice>
      <mc:Fallback>
        <control shapeId="21511" r:id="rId4" name="CommandButton1"/>
      </mc:Fallback>
    </mc:AlternateContent>
    <mc:AlternateContent xmlns:mc="http://schemas.openxmlformats.org/markup-compatibility/2006">
      <mc:Choice Requires="x14">
        <control shapeId="21505" r:id="rId6" name="Check Box 1">
          <controlPr locked="0" defaultSize="0" autoFill="0" autoLine="0" autoPict="0">
            <anchor moveWithCells="1">
              <from>
                <xdr:col>2</xdr:col>
                <xdr:colOff>1441450</xdr:colOff>
                <xdr:row>5</xdr:row>
                <xdr:rowOff>95250</xdr:rowOff>
              </from>
              <to>
                <xdr:col>2</xdr:col>
                <xdr:colOff>1752600</xdr:colOff>
                <xdr:row>6</xdr:row>
                <xdr:rowOff>0</xdr:rowOff>
              </to>
            </anchor>
          </controlPr>
        </control>
      </mc:Choice>
    </mc:AlternateContent>
    <mc:AlternateContent xmlns:mc="http://schemas.openxmlformats.org/markup-compatibility/2006">
      <mc:Choice Requires="x14">
        <control shapeId="21506" r:id="rId7" name="Check Box 2">
          <controlPr locked="0" defaultSize="0" autoFill="0" autoLine="0" autoPict="0">
            <anchor moveWithCells="1">
              <from>
                <xdr:col>4</xdr:col>
                <xdr:colOff>1346200</xdr:colOff>
                <xdr:row>5</xdr:row>
                <xdr:rowOff>95250</xdr:rowOff>
              </from>
              <to>
                <xdr:col>4</xdr:col>
                <xdr:colOff>1657350</xdr:colOff>
                <xdr:row>6</xdr:row>
                <xdr:rowOff>0</xdr:rowOff>
              </to>
            </anchor>
          </controlPr>
        </control>
      </mc:Choice>
    </mc:AlternateContent>
    <mc:AlternateContent xmlns:mc="http://schemas.openxmlformats.org/markup-compatibility/2006">
      <mc:Choice Requires="x14">
        <control shapeId="21507" r:id="rId8" name="Check Box 3">
          <controlPr locked="0" defaultSize="0" autoFill="0" autoLine="0" autoPict="0">
            <anchor moveWithCells="1">
              <from>
                <xdr:col>3</xdr:col>
                <xdr:colOff>908050</xdr:colOff>
                <xdr:row>5</xdr:row>
                <xdr:rowOff>107950</xdr:rowOff>
              </from>
              <to>
                <xdr:col>3</xdr:col>
                <xdr:colOff>1219200</xdr:colOff>
                <xdr:row>5</xdr:row>
                <xdr:rowOff>304800</xdr:rowOff>
              </to>
            </anchor>
          </controlPr>
        </control>
      </mc:Choice>
    </mc:AlternateContent>
    <mc:AlternateContent xmlns:mc="http://schemas.openxmlformats.org/markup-compatibility/2006">
      <mc:Choice Requires="x14">
        <control shapeId="21508" r:id="rId9" name="Check Box 4">
          <controlPr locked="0" defaultSize="0" autoFill="0" autoLine="0" autoPict="0">
            <anchor moveWithCells="1">
              <from>
                <xdr:col>2</xdr:col>
                <xdr:colOff>1441450</xdr:colOff>
                <xdr:row>6</xdr:row>
                <xdr:rowOff>95250</xdr:rowOff>
              </from>
              <to>
                <xdr:col>2</xdr:col>
                <xdr:colOff>1752600</xdr:colOff>
                <xdr:row>7</xdr:row>
                <xdr:rowOff>0</xdr:rowOff>
              </to>
            </anchor>
          </controlPr>
        </control>
      </mc:Choice>
    </mc:AlternateContent>
    <mc:AlternateContent xmlns:mc="http://schemas.openxmlformats.org/markup-compatibility/2006">
      <mc:Choice Requires="x14">
        <control shapeId="21509" r:id="rId10" name="Check Box 5">
          <controlPr locked="0" defaultSize="0" autoFill="0" autoLine="0" autoPict="0">
            <anchor moveWithCells="1">
              <from>
                <xdr:col>4</xdr:col>
                <xdr:colOff>1346200</xdr:colOff>
                <xdr:row>6</xdr:row>
                <xdr:rowOff>95250</xdr:rowOff>
              </from>
              <to>
                <xdr:col>4</xdr:col>
                <xdr:colOff>1657350</xdr:colOff>
                <xdr:row>7</xdr:row>
                <xdr:rowOff>0</xdr:rowOff>
              </to>
            </anchor>
          </controlPr>
        </control>
      </mc:Choice>
    </mc:AlternateContent>
    <mc:AlternateContent xmlns:mc="http://schemas.openxmlformats.org/markup-compatibility/2006">
      <mc:Choice Requires="x14">
        <control shapeId="21510" r:id="rId11" name="Check Box 6">
          <controlPr locked="0" defaultSize="0" autoFill="0" autoLine="0" autoPict="0">
            <anchor moveWithCells="1">
              <from>
                <xdr:col>3</xdr:col>
                <xdr:colOff>908050</xdr:colOff>
                <xdr:row>6</xdr:row>
                <xdr:rowOff>107950</xdr:rowOff>
              </from>
              <to>
                <xdr:col>3</xdr:col>
                <xdr:colOff>1219200</xdr:colOff>
                <xdr:row>6</xdr:row>
                <xdr:rowOff>304800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DB04C-2242-47B6-854F-372AC075C950}">
  <sheetPr codeName="Sheet1">
    <tabColor rgb="FF92D050"/>
  </sheetPr>
  <dimension ref="A1:S44"/>
  <sheetViews>
    <sheetView showGridLines="0" topLeftCell="A30" zoomScaleNormal="100" workbookViewId="0">
      <selection activeCell="G12" sqref="G12:G17"/>
    </sheetView>
  </sheetViews>
  <sheetFormatPr defaultRowHeight="13"/>
  <cols>
    <col min="1" max="1" width="11.5" customWidth="1"/>
    <col min="2" max="2" width="21.69921875" customWidth="1"/>
    <col min="3" max="3" width="19.796875" customWidth="1"/>
    <col min="4" max="4" width="20.796875" customWidth="1"/>
    <col min="5" max="6" width="19.796875" customWidth="1"/>
    <col min="7" max="7" width="13.796875" customWidth="1"/>
    <col min="8" max="8" width="11.5" customWidth="1"/>
    <col min="9" max="9" width="31.296875" customWidth="1"/>
    <col min="11" max="11" width="9.69921875" customWidth="1"/>
    <col min="12" max="12" width="9.296875" customWidth="1"/>
  </cols>
  <sheetData>
    <row r="1" spans="1:16" ht="41.25" customHeight="1">
      <c r="A1" s="440" t="s">
        <v>1102</v>
      </c>
      <c r="B1" s="440"/>
      <c r="C1" s="440"/>
      <c r="D1" s="440"/>
      <c r="E1" s="440"/>
      <c r="F1" s="440"/>
      <c r="G1" s="440"/>
      <c r="H1" s="171"/>
    </row>
    <row r="2" spans="1:16" ht="15" customHeight="1">
      <c r="A2" s="172" t="s">
        <v>960</v>
      </c>
      <c r="B2" s="441" t="str">
        <f>IF(Form_Data!$C$2="","",Form_Data!$C$2)</f>
        <v>tim/Tucson</v>
      </c>
      <c r="C2" s="441"/>
      <c r="D2" s="441"/>
      <c r="E2" s="281" t="s">
        <v>0</v>
      </c>
      <c r="F2" s="419">
        <f ca="1">IF(Form_Data!$F$2="","",Form_Data!$F$2)</f>
        <v>45804</v>
      </c>
      <c r="G2" s="419"/>
      <c r="H2" s="419"/>
    </row>
    <row r="3" spans="1:16" ht="15" customHeight="1">
      <c r="A3" s="172" t="s">
        <v>961</v>
      </c>
      <c r="B3" s="441" t="str">
        <f>IF(Form_Data!$B$2="","",Form_Data!$B$2)</f>
        <v>TIM</v>
      </c>
      <c r="C3" s="441"/>
      <c r="D3" s="441"/>
      <c r="E3" s="281" t="s">
        <v>962</v>
      </c>
      <c r="F3" s="420">
        <f>IF(Form_Data!$H$2="","",Form_Data!$H$2)</f>
        <v>342</v>
      </c>
      <c r="G3" s="420"/>
      <c r="H3" s="420"/>
    </row>
    <row r="4" spans="1:16" ht="15" customHeight="1">
      <c r="A4" s="173" t="s">
        <v>1110</v>
      </c>
      <c r="B4" s="450" t="str">
        <f>IF(Form_Data!$D$2="","",Form_Data!$D$2)</f>
        <v>Newport</v>
      </c>
      <c r="C4" s="450"/>
      <c r="D4" s="451"/>
      <c r="E4" s="281" t="s">
        <v>964</v>
      </c>
      <c r="F4" s="420" t="str">
        <f>IF(Form_Data!$J$2="","",Form_Data!$J$2)</f>
        <v>Goats,Horses</v>
      </c>
      <c r="G4" s="420"/>
      <c r="H4" s="420"/>
    </row>
    <row r="5" spans="1:16" ht="15" customHeight="1">
      <c r="A5" s="452" t="s">
        <v>1103</v>
      </c>
      <c r="B5" s="453"/>
      <c r="C5" s="282" t="str">
        <f>IF(Form_Data!$K$2="","",Form_Data!$K$2)</f>
        <v>Normal</v>
      </c>
      <c r="D5" s="454" t="s">
        <v>1104</v>
      </c>
      <c r="E5" s="454"/>
      <c r="F5" s="421" t="str">
        <f>IF(Form_Data!$L$2="","",Form_Data!$L$2)</f>
        <v>Normal</v>
      </c>
      <c r="G5" s="421"/>
      <c r="H5" s="421"/>
    </row>
    <row r="6" spans="1:16" ht="15" customHeight="1">
      <c r="A6" s="422" t="s">
        <v>968</v>
      </c>
      <c r="B6" s="422"/>
      <c r="C6" s="422"/>
      <c r="D6" s="422"/>
      <c r="E6" s="422"/>
      <c r="F6" s="422"/>
      <c r="G6" s="422"/>
      <c r="H6" s="422"/>
    </row>
    <row r="7" spans="1:16" ht="15" customHeight="1">
      <c r="A7" s="422"/>
      <c r="B7" s="422"/>
      <c r="C7" s="422"/>
      <c r="D7" s="422"/>
      <c r="E7" s="422"/>
      <c r="F7" s="422"/>
      <c r="G7" s="422"/>
      <c r="H7" s="422"/>
    </row>
    <row r="8" spans="1:16" ht="15" customHeight="1">
      <c r="A8" s="174" t="s">
        <v>970</v>
      </c>
      <c r="B8" s="174" t="s">
        <v>971</v>
      </c>
      <c r="C8" s="174" t="s">
        <v>972</v>
      </c>
      <c r="D8" s="174" t="s">
        <v>973</v>
      </c>
      <c r="E8" s="174" t="s">
        <v>974</v>
      </c>
      <c r="F8" s="174" t="s">
        <v>975</v>
      </c>
      <c r="G8" s="283" t="s">
        <v>969</v>
      </c>
      <c r="H8" s="284" t="s">
        <v>1256</v>
      </c>
    </row>
    <row r="9" spans="1:16" ht="100.15" customHeight="1">
      <c r="A9" s="211" t="s">
        <v>1136</v>
      </c>
      <c r="B9" s="175" t="s">
        <v>1137</v>
      </c>
      <c r="C9" s="176" t="s">
        <v>1116</v>
      </c>
      <c r="D9" s="177" t="s">
        <v>1117</v>
      </c>
      <c r="E9" s="178" t="s">
        <v>1118</v>
      </c>
      <c r="F9" s="179" t="s">
        <v>1119</v>
      </c>
      <c r="G9" s="230">
        <v>2</v>
      </c>
      <c r="H9" s="278" t="str">
        <f>IF(Form_Data!N2="No","",IF(Form_Data!N2="","",IF(PCS_Report!C46&lt;0.2,1,(IF(AND(PCS_Report!C46&gt;=MIN(0.2),PCS_Report!C46&lt;=MAX(0.4)),2,IF(AND(PCS_Report!C46&gt;=MIN(0.41),PCS_Report!C46&lt;=MAX(0.6)),3,IF(AND(PCS_Report!C46&gt;=MIN(0.61),PCS_Report!C46&lt;=MAX(0.8)),4,IF(PCS_Report!C46&gt;0.8,5,""))))))))</f>
        <v/>
      </c>
      <c r="I9" s="217"/>
    </row>
    <row r="10" spans="1:16" ht="46.9" customHeight="1">
      <c r="A10" s="180" t="s">
        <v>1120</v>
      </c>
      <c r="B10" s="175" t="s">
        <v>1138</v>
      </c>
      <c r="C10" s="181" t="s">
        <v>1139</v>
      </c>
      <c r="D10" s="177" t="s">
        <v>1121</v>
      </c>
      <c r="E10" s="178" t="s">
        <v>1122</v>
      </c>
      <c r="F10" s="179" t="s">
        <v>1123</v>
      </c>
      <c r="G10" s="230">
        <v>3</v>
      </c>
      <c r="H10" s="278" t="str">
        <f>IF(Form_Data!N2="No","",IF(Form_Data!N2="","",IF(PCS_Report!K82&lt;=0.05,1,IF(PCS_Report!K82&gt;0.5,1,IF(PCS_Report!K82&gt;0.4,2,IF(AND(PCS_Report!K82&gt;=MIN(0.05),PCS_Report!K82&lt;MAX(0.11)),2,IF(AND(PCS_Report!K82&gt;=MIN(0.11),PCS_Report!K82&lt;MAX(0.21)),3,IF(AND(PCS_Report!K82&gt;=MIN(0.21),PCS_Report!K82&lt;MAX(0.31)),4,IF(AND(PCS_Report!K82&gt;=MIN(0.31),PCS_Report!K82&lt;=MAX(0.4)),5,"")))))))))</f>
        <v/>
      </c>
      <c r="I10" s="217"/>
      <c r="K10" s="241"/>
      <c r="L10" s="241"/>
      <c r="M10" s="241"/>
      <c r="N10" s="241"/>
      <c r="O10" s="241"/>
    </row>
    <row r="11" spans="1:16" ht="70.150000000000006" customHeight="1">
      <c r="A11" s="180" t="s">
        <v>1124</v>
      </c>
      <c r="B11" s="175" t="s">
        <v>1140</v>
      </c>
      <c r="C11" s="176" t="s">
        <v>991</v>
      </c>
      <c r="D11" s="177" t="s">
        <v>992</v>
      </c>
      <c r="E11" s="178" t="s">
        <v>993</v>
      </c>
      <c r="F11" s="179" t="s">
        <v>994</v>
      </c>
      <c r="G11" s="230">
        <v>2</v>
      </c>
      <c r="H11" s="279" t="str">
        <f>IF(Form_Data!N2="No","",IF(Form_Data!N2="","",IF(PCS_Report!K57&lt;0.4,1,(IF(AND(PCS_Report!K57&gt;=MIN(0.4),PCS_Report!K57&lt;MAX(0.66)),2,IF(AND(PCS_Report!K57&gt;=MIN(0.66),PCS_Report!K57&lt;MAX(0.81)),3,IF(AND(PCS_Report!K57&gt;=MIN(0.81),PCS_Report!K57&lt;MAX(0.96)),4,IF(PCS_Report!K57&gt;0.95,5,""))))))))</f>
        <v/>
      </c>
      <c r="I11" s="217"/>
      <c r="K11" s="251" t="b">
        <v>1</v>
      </c>
      <c r="L11" s="251" t="s">
        <v>969</v>
      </c>
      <c r="M11" s="218"/>
      <c r="N11" s="218"/>
      <c r="O11" s="218"/>
    </row>
    <row r="12" spans="1:16" ht="19.149999999999999" customHeight="1">
      <c r="A12" s="442" t="s">
        <v>1191</v>
      </c>
      <c r="B12" s="175" t="s">
        <v>1141</v>
      </c>
      <c r="C12" s="181" t="s">
        <v>1142</v>
      </c>
      <c r="D12" s="182" t="s">
        <v>1143</v>
      </c>
      <c r="E12" s="183" t="s">
        <v>1144</v>
      </c>
      <c r="F12" s="184" t="s">
        <v>1145</v>
      </c>
      <c r="G12" s="425">
        <v>2</v>
      </c>
      <c r="H12" s="455" t="str">
        <f>IF(Form_Data!$N$2="No","",IF(Form_Data!$N$2="","",IF(PCS_Report!C46&lt;0.5,1,(_xlfn.MAXIFS(K12:K16,K12:K16,"&gt;0")))))</f>
        <v/>
      </c>
      <c r="I12" s="217"/>
      <c r="J12" s="231"/>
      <c r="K12" s="252" t="str" cm="1">
        <f t="array" aca="1" ref="K12" ca="1">_xlfn.IFS(Form_Data!$N$2="No","",Form_Data!$N$2="","",PCS_Report!$C$46&lt;0.5,1,AND(PCS_Report!$L$93=1,PCS_Report!$L$94=1),1,AND(PCS_Report!$L$93=0,PCS_Report!$K$96&lt;0.15),1)</f>
        <v/>
      </c>
      <c r="L12" s="252">
        <v>1</v>
      </c>
      <c r="M12" s="231"/>
      <c r="O12" s="231"/>
      <c r="P12" s="231"/>
    </row>
    <row r="13" spans="1:16" ht="31.9" customHeight="1">
      <c r="A13" s="435"/>
      <c r="B13" s="185" t="s">
        <v>1125</v>
      </c>
      <c r="C13" s="186" t="s">
        <v>1126</v>
      </c>
      <c r="D13" s="187" t="s">
        <v>1003</v>
      </c>
      <c r="E13" s="188" t="s">
        <v>1004</v>
      </c>
      <c r="F13" s="189" t="s">
        <v>1005</v>
      </c>
      <c r="G13" s="425"/>
      <c r="H13" s="455"/>
      <c r="I13" s="276"/>
      <c r="J13" s="231"/>
      <c r="K13" s="252" t="str" cm="1">
        <f t="array" aca="1" ref="K13" ca="1">_xlfn.IFS(Form_Data!$N$2="No","",Form_Data!$N$2="","",AND(PCS_Report!$L$93=2,PCS_Report!$L$94=1),2,AND(PCS_Report!$L$96=2,PCS_Report!$K$96&gt;=0.15),2)</f>
        <v/>
      </c>
      <c r="L13" s="252">
        <v>2</v>
      </c>
      <c r="M13" s="231"/>
      <c r="N13" s="231"/>
      <c r="O13" s="231"/>
      <c r="P13" s="231"/>
    </row>
    <row r="14" spans="1:16" ht="13.15" customHeight="1">
      <c r="A14" s="443"/>
      <c r="B14" s="190" t="s">
        <v>1146</v>
      </c>
      <c r="C14" s="191" t="s">
        <v>1146</v>
      </c>
      <c r="D14" s="192" t="s">
        <v>1146</v>
      </c>
      <c r="E14" s="193" t="s">
        <v>1146</v>
      </c>
      <c r="F14" s="194" t="s">
        <v>1146</v>
      </c>
      <c r="G14" s="444"/>
      <c r="H14" s="455"/>
      <c r="I14" s="276"/>
      <c r="J14" s="231"/>
      <c r="K14" s="252" t="str" cm="1">
        <f t="array" aca="1" ref="K14" ca="1">_xlfn.IFS(Form_Data!$N$2="No","",Form_Data!$N$2="","",AND(PCS_Report!$L$93=3,PCS_Report!$L$94=1),3,AND(AND(PCS_Report!$L$93&gt;1,PCS_Report!$L$93&lt;4),PCS_Report!$L$94=2),3,AND(PCS_Report!$L$96=3,PCS_Report!$K$96&gt;=0.15),3)</f>
        <v/>
      </c>
      <c r="L14" s="252">
        <v>3</v>
      </c>
      <c r="M14" s="231"/>
      <c r="N14" s="241"/>
      <c r="O14" s="241"/>
      <c r="P14" s="231"/>
    </row>
    <row r="15" spans="1:16" ht="33" customHeight="1">
      <c r="A15" s="435"/>
      <c r="B15" s="195" t="s">
        <v>1007</v>
      </c>
      <c r="C15" s="445" t="s">
        <v>1275</v>
      </c>
      <c r="D15" s="196" t="s">
        <v>1009</v>
      </c>
      <c r="E15" s="197" t="s">
        <v>1010</v>
      </c>
      <c r="F15" s="447" t="s">
        <v>1147</v>
      </c>
      <c r="G15" s="425"/>
      <c r="H15" s="455"/>
      <c r="I15" s="277"/>
      <c r="J15" s="231"/>
      <c r="K15" s="252" t="str" cm="1">
        <f t="array" aca="1" ref="K15" ca="1">_xlfn.IFS(Form_Data!$N$2="No","",Form_Data!$N$2="","",AND(PCS_Report!$L$93=4,PCS_Report!$L$94=2),4,AND(PCS_Report!$L$93=3,PCS_Report!$L$94=3),4,AND(PCS_Report!$L$93=3,PCS_Report!$L$94=2,PCS_Report!$L$96&gt;=1,PCS_Report!$K$95&gt;=0.15),4)</f>
        <v/>
      </c>
      <c r="L15" s="252">
        <v>4</v>
      </c>
      <c r="N15" s="218"/>
      <c r="O15" s="218"/>
      <c r="P15" s="231"/>
    </row>
    <row r="16" spans="1:16" ht="11.25" customHeight="1">
      <c r="A16" s="443"/>
      <c r="B16" s="190" t="s">
        <v>1146</v>
      </c>
      <c r="C16" s="446"/>
      <c r="D16" s="192" t="s">
        <v>1146</v>
      </c>
      <c r="E16" s="193" t="s">
        <v>1146</v>
      </c>
      <c r="F16" s="448"/>
      <c r="G16" s="425"/>
      <c r="H16" s="455"/>
      <c r="J16" s="231"/>
      <c r="K16" s="252" t="str" cm="1">
        <f t="array" aca="1" ref="K16" ca="1">_xlfn.IFS(Form_Data!$N$2="No","",Form_Data!$N$2="","",AND(PCS_Report!$L$93&gt;=4,PCS_Report!$L$94&gt;=3),5,AND(PCS_Report!$L$93&gt;=4,PCS_Report!$L$94=2,PCS_Report!$L$96&gt;=1,PCS_Report!$K$95&gt;=0.15),5)</f>
        <v/>
      </c>
      <c r="L16" s="252">
        <v>5</v>
      </c>
      <c r="N16" s="231"/>
      <c r="O16" s="231"/>
      <c r="P16" s="231"/>
    </row>
    <row r="17" spans="1:19" ht="79.5" customHeight="1">
      <c r="A17" s="435"/>
      <c r="B17" s="198" t="s">
        <v>1012</v>
      </c>
      <c r="C17" s="199"/>
      <c r="D17" s="257" t="s">
        <v>1274</v>
      </c>
      <c r="E17" s="263" t="s">
        <v>1148</v>
      </c>
      <c r="F17" s="449"/>
      <c r="G17" s="425"/>
      <c r="H17" s="455"/>
      <c r="J17" s="231"/>
      <c r="K17" s="231"/>
      <c r="L17" s="231"/>
      <c r="M17" s="231"/>
      <c r="N17" s="231"/>
      <c r="O17" s="231"/>
      <c r="P17" s="231"/>
      <c r="Q17" s="231"/>
      <c r="R17" s="231"/>
      <c r="S17" s="231"/>
    </row>
    <row r="18" spans="1:19" ht="34.15" customHeight="1">
      <c r="A18" s="423" t="s">
        <v>1149</v>
      </c>
      <c r="B18" s="200" t="s">
        <v>1016</v>
      </c>
      <c r="C18" s="201" t="s">
        <v>1017</v>
      </c>
      <c r="D18" s="177" t="s">
        <v>1018</v>
      </c>
      <c r="E18" s="178" t="s">
        <v>1127</v>
      </c>
      <c r="F18" s="179" t="s">
        <v>1020</v>
      </c>
      <c r="G18" s="425">
        <v>1</v>
      </c>
      <c r="H18" s="456" t="str">
        <f>IF(Form_Data!N2="No","",IF(Form_Data!N2="","",IF(PCS_Report!F57&lt;=0.2,1,(IF(AND(PCS_Report!F57&gt;=MIN(0.21),PCS_Report!F57&lt;=MAX(0.4)),2,IF(AND(PCS_Report!F57&gt;=MIN(0.41),PCS_Report!F57&lt;=MAX(0.6)),3,IF(AND(PCS_Report!F57&gt;=MIN(0.61),PCS_Report!F57&lt;=MAX(0.8)),4,IF(PCS_Report!F57&gt;0.8,5,""))))))))</f>
        <v/>
      </c>
      <c r="I18" s="217"/>
      <c r="J18" s="231"/>
      <c r="K18" s="231"/>
      <c r="L18" s="231"/>
      <c r="M18" s="231"/>
      <c r="N18" s="231"/>
      <c r="O18" s="231"/>
      <c r="P18" s="231"/>
      <c r="Q18" s="231"/>
      <c r="R18" s="231"/>
      <c r="S18" s="231"/>
    </row>
    <row r="19" spans="1:19" ht="57" customHeight="1">
      <c r="A19" s="424"/>
      <c r="B19" s="200" t="s">
        <v>1128</v>
      </c>
      <c r="C19" s="176" t="s">
        <v>1129</v>
      </c>
      <c r="D19" s="177" t="s">
        <v>1130</v>
      </c>
      <c r="E19" s="178" t="s">
        <v>1024</v>
      </c>
      <c r="F19" s="179" t="s">
        <v>1025</v>
      </c>
      <c r="G19" s="425"/>
      <c r="H19" s="456"/>
      <c r="J19" s="231"/>
      <c r="K19" s="231"/>
      <c r="L19" s="231"/>
      <c r="M19" s="231"/>
      <c r="N19" s="231"/>
      <c r="O19" s="231"/>
      <c r="P19" s="231"/>
      <c r="Q19" s="231"/>
      <c r="R19" s="231"/>
      <c r="S19" s="231"/>
    </row>
    <row r="20" spans="1:19" ht="76.900000000000006" customHeight="1">
      <c r="A20" s="265" t="s">
        <v>1131</v>
      </c>
      <c r="B20" s="185" t="s">
        <v>1027</v>
      </c>
      <c r="C20" s="186" t="s">
        <v>1028</v>
      </c>
      <c r="D20" s="187" t="s">
        <v>1029</v>
      </c>
      <c r="E20" s="188" t="s">
        <v>1030</v>
      </c>
      <c r="F20" s="189" t="s">
        <v>1031</v>
      </c>
      <c r="G20" s="266">
        <v>3</v>
      </c>
      <c r="H20" s="280"/>
      <c r="J20" s="231"/>
      <c r="K20" s="231"/>
      <c r="L20" s="231"/>
      <c r="M20" s="231"/>
      <c r="N20" s="231"/>
      <c r="O20" s="231"/>
      <c r="P20" s="231"/>
      <c r="Q20" s="231"/>
      <c r="R20" s="231"/>
      <c r="S20" s="231"/>
    </row>
    <row r="21" spans="1:19" ht="38.25" customHeight="1">
      <c r="A21" s="429" t="s">
        <v>1276</v>
      </c>
      <c r="B21" s="430"/>
      <c r="C21" s="430"/>
      <c r="D21" s="430"/>
      <c r="E21" s="430"/>
      <c r="F21" s="430"/>
      <c r="G21" s="430"/>
      <c r="H21" s="431"/>
      <c r="J21" s="231"/>
      <c r="K21" s="231"/>
      <c r="L21" s="231"/>
      <c r="M21" s="231"/>
      <c r="N21" s="231"/>
      <c r="O21" s="231"/>
      <c r="P21" s="231"/>
      <c r="Q21" s="231"/>
      <c r="R21" s="231"/>
      <c r="S21" s="231"/>
    </row>
    <row r="22" spans="1:19" ht="8.25" customHeight="1">
      <c r="A22" s="264"/>
      <c r="B22" s="264"/>
      <c r="C22" s="264"/>
      <c r="D22" s="264"/>
      <c r="E22" s="264"/>
      <c r="F22" s="264"/>
      <c r="G22" s="264"/>
      <c r="H22" s="77"/>
      <c r="J22" s="231"/>
      <c r="K22" s="231"/>
      <c r="L22" s="231"/>
      <c r="M22" s="231"/>
      <c r="N22" s="231"/>
      <c r="O22" s="231"/>
      <c r="P22" s="231"/>
      <c r="Q22" s="231"/>
      <c r="R22" s="231"/>
      <c r="S22" s="231"/>
    </row>
    <row r="23" spans="1:19" ht="21" customHeight="1">
      <c r="A23" s="273" t="s">
        <v>970</v>
      </c>
      <c r="B23" s="274" t="s">
        <v>971</v>
      </c>
      <c r="C23" s="274" t="s">
        <v>972</v>
      </c>
      <c r="D23" s="274" t="s">
        <v>973</v>
      </c>
      <c r="E23" s="274" t="s">
        <v>974</v>
      </c>
      <c r="F23" s="274" t="s">
        <v>975</v>
      </c>
      <c r="G23" s="275" t="s">
        <v>969</v>
      </c>
      <c r="H23" s="437"/>
      <c r="J23" s="231"/>
      <c r="K23" s="231"/>
      <c r="L23" s="231"/>
      <c r="M23" s="231"/>
      <c r="N23" s="231"/>
      <c r="O23" s="231"/>
      <c r="P23" s="231"/>
      <c r="Q23" s="231"/>
      <c r="R23" s="231"/>
      <c r="S23" s="231"/>
    </row>
    <row r="24" spans="1:19" ht="85.9" customHeight="1">
      <c r="A24" s="267" t="s">
        <v>1150</v>
      </c>
      <c r="B24" s="268" t="s">
        <v>1034</v>
      </c>
      <c r="C24" s="201" t="s">
        <v>1035</v>
      </c>
      <c r="D24" s="269" t="s">
        <v>1132</v>
      </c>
      <c r="E24" s="270" t="s">
        <v>1037</v>
      </c>
      <c r="F24" s="271" t="s">
        <v>1038</v>
      </c>
      <c r="G24" s="272">
        <v>2</v>
      </c>
      <c r="H24" s="438"/>
      <c r="I24" s="217"/>
    </row>
    <row r="25" spans="1:19" ht="57" customHeight="1">
      <c r="A25" s="426" t="s">
        <v>1277</v>
      </c>
      <c r="B25" s="175" t="s">
        <v>1151</v>
      </c>
      <c r="C25" s="181" t="s">
        <v>1152</v>
      </c>
      <c r="D25" s="182" t="s">
        <v>1153</v>
      </c>
      <c r="E25" s="183" t="s">
        <v>1154</v>
      </c>
      <c r="F25" s="184" t="s">
        <v>1155</v>
      </c>
      <c r="G25" s="425">
        <v>4</v>
      </c>
      <c r="H25" s="438"/>
      <c r="I25" s="209"/>
    </row>
    <row r="26" spans="1:19" ht="57" customHeight="1">
      <c r="A26" s="427"/>
      <c r="B26" s="175" t="s">
        <v>1156</v>
      </c>
      <c r="C26" s="181" t="s">
        <v>1157</v>
      </c>
      <c r="D26" s="182" t="s">
        <v>1158</v>
      </c>
      <c r="E26" s="183" t="s">
        <v>1159</v>
      </c>
      <c r="F26" s="184" t="s">
        <v>1160</v>
      </c>
      <c r="G26" s="425"/>
      <c r="H26" s="438"/>
    </row>
    <row r="27" spans="1:19" ht="57" customHeight="1">
      <c r="A27" s="427"/>
      <c r="B27" s="175" t="s">
        <v>1161</v>
      </c>
      <c r="C27" s="181"/>
      <c r="D27" s="182" t="s">
        <v>1162</v>
      </c>
      <c r="E27" s="183"/>
      <c r="F27" s="184" t="s">
        <v>1163</v>
      </c>
      <c r="G27" s="425"/>
      <c r="H27" s="438"/>
    </row>
    <row r="28" spans="1:19" ht="57" customHeight="1">
      <c r="A28" s="428"/>
      <c r="B28" s="175" t="s">
        <v>1164</v>
      </c>
      <c r="C28" s="181" t="s">
        <v>1165</v>
      </c>
      <c r="D28" s="182" t="s">
        <v>1166</v>
      </c>
      <c r="E28" s="183" t="s">
        <v>1167</v>
      </c>
      <c r="F28" s="184" t="s">
        <v>1168</v>
      </c>
      <c r="G28" s="425"/>
      <c r="H28" s="438"/>
    </row>
    <row r="29" spans="1:19" ht="67.900000000000006" customHeight="1">
      <c r="A29" s="180" t="s">
        <v>1133</v>
      </c>
      <c r="B29" s="200" t="s">
        <v>1059</v>
      </c>
      <c r="C29" s="176" t="s">
        <v>1134</v>
      </c>
      <c r="D29" s="177" t="s">
        <v>1135</v>
      </c>
      <c r="E29" s="178" t="s">
        <v>1062</v>
      </c>
      <c r="F29" s="179" t="s">
        <v>1063</v>
      </c>
      <c r="G29" s="230">
        <v>2</v>
      </c>
      <c r="H29" s="439"/>
    </row>
    <row r="30" spans="1:19" ht="73.900000000000006" customHeight="1">
      <c r="A30" s="434" t="s">
        <v>1169</v>
      </c>
      <c r="B30" s="175" t="s">
        <v>1170</v>
      </c>
      <c r="C30" s="181" t="s">
        <v>1171</v>
      </c>
      <c r="D30" s="182" t="s">
        <v>1172</v>
      </c>
      <c r="E30" s="183" t="s">
        <v>1173</v>
      </c>
      <c r="F30" s="184" t="s">
        <v>1174</v>
      </c>
      <c r="G30" s="230">
        <v>3</v>
      </c>
      <c r="H30" s="437">
        <f>IF(G30="","",MIN(G30:G33))</f>
        <v>1</v>
      </c>
      <c r="I30" s="217"/>
    </row>
    <row r="31" spans="1:19" ht="58.15" customHeight="1">
      <c r="A31" s="435"/>
      <c r="B31" s="175" t="s">
        <v>1175</v>
      </c>
      <c r="C31" s="181" t="s">
        <v>1176</v>
      </c>
      <c r="D31" s="182" t="s">
        <v>1177</v>
      </c>
      <c r="E31" s="183" t="s">
        <v>1178</v>
      </c>
      <c r="F31" s="184" t="s">
        <v>1179</v>
      </c>
      <c r="G31" s="230">
        <v>4</v>
      </c>
      <c r="H31" s="438"/>
    </row>
    <row r="32" spans="1:19" ht="72" customHeight="1">
      <c r="A32" s="435"/>
      <c r="B32" s="175" t="s">
        <v>1180</v>
      </c>
      <c r="C32" s="181" t="s">
        <v>1181</v>
      </c>
      <c r="D32" s="182" t="s">
        <v>1182</v>
      </c>
      <c r="E32" s="183" t="s">
        <v>1183</v>
      </c>
      <c r="F32" s="184" t="s">
        <v>1184</v>
      </c>
      <c r="G32" s="230">
        <v>1</v>
      </c>
      <c r="H32" s="438"/>
    </row>
    <row r="33" spans="1:8" ht="69" customHeight="1">
      <c r="A33" s="436"/>
      <c r="B33" s="285" t="s">
        <v>1185</v>
      </c>
      <c r="C33" s="286" t="s">
        <v>1186</v>
      </c>
      <c r="D33" s="287" t="s">
        <v>1187</v>
      </c>
      <c r="E33" s="288" t="s">
        <v>1188</v>
      </c>
      <c r="F33" s="289" t="s">
        <v>1189</v>
      </c>
      <c r="G33" s="290">
        <v>3</v>
      </c>
      <c r="H33" s="438"/>
    </row>
    <row r="34" spans="1:8" ht="22.15" customHeight="1">
      <c r="A34" s="429" t="s">
        <v>1105</v>
      </c>
      <c r="B34" s="430"/>
      <c r="C34" s="430"/>
      <c r="D34" s="430"/>
      <c r="E34" s="430"/>
      <c r="F34" s="430"/>
      <c r="G34" s="430"/>
      <c r="H34" s="431"/>
    </row>
    <row r="35" spans="1:8" ht="22.9" customHeight="1">
      <c r="A35" s="174" t="s">
        <v>1106</v>
      </c>
      <c r="B35" s="174" t="s">
        <v>1107</v>
      </c>
      <c r="C35" s="459" t="s">
        <v>1088</v>
      </c>
      <c r="D35" s="459"/>
      <c r="E35" s="459"/>
      <c r="F35" s="460" t="s">
        <v>1108</v>
      </c>
      <c r="G35" s="462">
        <f>IFERROR(IF(Form_Data!$N$2="No",SUM(G9+G10+G11+G12+G18+G20+G24+G25+G29+H30),SUM(H9+H10+H11+H12+H18+G20+G24+G25+G29+H30)),"Need Data")</f>
        <v>22</v>
      </c>
      <c r="H35" s="463"/>
    </row>
    <row r="36" spans="1:8" ht="15" customHeight="1">
      <c r="A36" s="202" t="s">
        <v>1090</v>
      </c>
      <c r="B36" s="203">
        <v>5</v>
      </c>
      <c r="C36" s="432" t="s">
        <v>1091</v>
      </c>
      <c r="D36" s="432"/>
      <c r="E36" s="432"/>
      <c r="F36" s="461"/>
      <c r="G36" s="464"/>
      <c r="H36" s="465"/>
    </row>
    <row r="37" spans="1:8" ht="15" customHeight="1">
      <c r="A37" s="202" t="s">
        <v>1092</v>
      </c>
      <c r="B37" s="203">
        <v>4</v>
      </c>
      <c r="C37" s="432" t="s">
        <v>1093</v>
      </c>
      <c r="D37" s="432"/>
      <c r="E37" s="433"/>
      <c r="F37" s="466"/>
      <c r="G37" s="467"/>
      <c r="H37" s="468"/>
    </row>
    <row r="38" spans="1:8" ht="15" customHeight="1">
      <c r="A38" s="202" t="s">
        <v>1109</v>
      </c>
      <c r="B38" s="203">
        <v>3</v>
      </c>
      <c r="C38" s="432" t="s">
        <v>1095</v>
      </c>
      <c r="D38" s="432"/>
      <c r="E38" s="433"/>
      <c r="F38" s="469"/>
      <c r="G38" s="470"/>
      <c r="H38" s="471"/>
    </row>
    <row r="39" spans="1:8" ht="15" customHeight="1">
      <c r="A39" s="202" t="s">
        <v>1096</v>
      </c>
      <c r="B39" s="203">
        <v>2</v>
      </c>
      <c r="C39" s="432" t="s">
        <v>1097</v>
      </c>
      <c r="D39" s="432"/>
      <c r="E39" s="433"/>
      <c r="F39" s="469"/>
      <c r="G39" s="470"/>
      <c r="H39" s="471"/>
    </row>
    <row r="40" spans="1:8" ht="15" customHeight="1">
      <c r="A40" s="291" t="s">
        <v>1098</v>
      </c>
      <c r="B40" s="292">
        <v>1</v>
      </c>
      <c r="C40" s="457" t="s">
        <v>1099</v>
      </c>
      <c r="D40" s="457"/>
      <c r="E40" s="458"/>
      <c r="F40" s="469"/>
      <c r="G40" s="470"/>
      <c r="H40" s="471"/>
    </row>
    <row r="41" spans="1:8" ht="22.5" customHeight="1">
      <c r="A41" s="410" t="s">
        <v>1273</v>
      </c>
      <c r="B41" s="411"/>
      <c r="C41" s="411"/>
      <c r="D41" s="411"/>
      <c r="E41" s="411"/>
      <c r="F41" s="411"/>
      <c r="G41" s="411"/>
      <c r="H41" s="412"/>
    </row>
    <row r="42" spans="1:8">
      <c r="A42" s="413"/>
      <c r="B42" s="414"/>
      <c r="C42" s="414"/>
      <c r="D42" s="414"/>
      <c r="E42" s="414"/>
      <c r="F42" s="414"/>
      <c r="G42" s="414"/>
      <c r="H42" s="415"/>
    </row>
    <row r="43" spans="1:8">
      <c r="A43" s="413"/>
      <c r="B43" s="414"/>
      <c r="C43" s="414"/>
      <c r="D43" s="414"/>
      <c r="E43" s="414"/>
      <c r="F43" s="414"/>
      <c r="G43" s="414"/>
      <c r="H43" s="415"/>
    </row>
    <row r="44" spans="1:8">
      <c r="A44" s="416"/>
      <c r="B44" s="417"/>
      <c r="C44" s="417"/>
      <c r="D44" s="417"/>
      <c r="E44" s="417"/>
      <c r="F44" s="417"/>
      <c r="G44" s="417"/>
      <c r="H44" s="418"/>
    </row>
  </sheetData>
  <mergeCells count="36">
    <mergeCell ref="H30:H33"/>
    <mergeCell ref="H12:H17"/>
    <mergeCell ref="H18:H19"/>
    <mergeCell ref="C40:E40"/>
    <mergeCell ref="C35:E35"/>
    <mergeCell ref="F35:F36"/>
    <mergeCell ref="C36:E36"/>
    <mergeCell ref="A34:H34"/>
    <mergeCell ref="G35:H36"/>
    <mergeCell ref="F37:H40"/>
    <mergeCell ref="A1:G1"/>
    <mergeCell ref="B2:D2"/>
    <mergeCell ref="B3:D3"/>
    <mergeCell ref="A12:A17"/>
    <mergeCell ref="G12:G17"/>
    <mergeCell ref="C15:C16"/>
    <mergeCell ref="F15:F17"/>
    <mergeCell ref="B4:D4"/>
    <mergeCell ref="A5:B5"/>
    <mergeCell ref="D5:E5"/>
    <mergeCell ref="A41:H44"/>
    <mergeCell ref="F2:H2"/>
    <mergeCell ref="F3:H3"/>
    <mergeCell ref="F4:H4"/>
    <mergeCell ref="F5:H5"/>
    <mergeCell ref="A6:H7"/>
    <mergeCell ref="A18:A19"/>
    <mergeCell ref="G18:G19"/>
    <mergeCell ref="A25:A28"/>
    <mergeCell ref="G25:G28"/>
    <mergeCell ref="A21:H21"/>
    <mergeCell ref="C37:E37"/>
    <mergeCell ref="C38:E38"/>
    <mergeCell ref="C39:E39"/>
    <mergeCell ref="A30:A33"/>
    <mergeCell ref="H23:H29"/>
  </mergeCells>
  <pageMargins left="0.7" right="0.7" top="0.75" bottom="0.75" header="0.3" footer="0.3"/>
  <pageSetup scale="72" orientation="portrait" r:id="rId1"/>
  <rowBreaks count="1" manualBreakCount="1">
    <brk id="22" max="7" man="1"/>
  </rowBreaks>
  <drawing r:id="rId2"/>
  <extLst>
    <ext xmlns:x14="http://schemas.microsoft.com/office/spreadsheetml/2009/9/main" uri="{78C0D931-6437-407d-A8EE-F0AAD7539E65}">
      <x14:conditionalFormattings>
        <x14:conditionalFormatting xmlns:xm="http://schemas.microsoft.com/office/excel/2006/main">
          <x14:cfRule type="expression" priority="6" id="{00000000-000E-0000-0300-000001000000}">
            <xm:f>Form_Data!$N$2="Yes"</xm:f>
            <x14:dxf>
              <fill>
                <patternFill>
                  <bgColor theme="1"/>
                </patternFill>
              </fill>
            </x14:dxf>
          </x14:cfRule>
          <xm:sqref>G18 G11 G10 G9 G9 H20 G12</xm:sqref>
        </x14:conditionalFormatting>
        <x14:conditionalFormatting xmlns:xm="http://schemas.microsoft.com/office/excel/2006/main">
          <x14:cfRule type="expression" priority="5" id="{8E870787-1D22-4695-BC0B-DDBF99B9F21E}">
            <xm:f>Form_Data!$N$2="No"</xm:f>
            <x14:dxf>
              <fill>
                <patternFill>
                  <bgColor theme="1"/>
                </patternFill>
              </fill>
            </x14:dxf>
          </x14:cfRule>
          <xm:sqref>H9 H10 H11 H12 H18 H20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80B2CDB-EA0F-420F-8DD5-A51CF97965F8}">
          <x14:formula1>
            <xm:f>Form_Reference!$T$2:$T$8</xm:f>
          </x14:formula1>
          <xm:sqref>G9:G20 G24:G33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56424-88A1-40BB-98D6-0E5C18499453}">
  <sheetPr codeName="Sheet12">
    <tabColor rgb="FF92D050"/>
  </sheetPr>
  <dimension ref="B1:W105"/>
  <sheetViews>
    <sheetView showGridLines="0" topLeftCell="A30" zoomScale="85" zoomScaleNormal="85" workbookViewId="0">
      <selection activeCell="C46" sqref="C46"/>
    </sheetView>
  </sheetViews>
  <sheetFormatPr defaultRowHeight="13"/>
  <cols>
    <col min="1" max="1" width="16" customWidth="1"/>
    <col min="2" max="2" width="33" customWidth="1"/>
    <col min="3" max="3" width="19.19921875" bestFit="1" customWidth="1"/>
    <col min="4" max="5" width="25.69921875" bestFit="1" customWidth="1"/>
    <col min="6" max="6" width="12.69921875" bestFit="1" customWidth="1"/>
    <col min="7" max="7" width="15.796875" customWidth="1"/>
    <col min="8" max="8" width="12.796875" customWidth="1"/>
    <col min="9" max="9" width="7.296875" customWidth="1"/>
    <col min="10" max="10" width="12.796875" customWidth="1"/>
    <col min="11" max="11" width="11.296875" customWidth="1"/>
    <col min="12" max="12" width="12.796875" customWidth="1"/>
    <col min="13" max="13" width="10.296875" bestFit="1" customWidth="1"/>
    <col min="14" max="14" width="15" customWidth="1"/>
    <col min="16" max="20" width="12.796875" customWidth="1"/>
    <col min="21" max="21" width="21.796875" customWidth="1"/>
  </cols>
  <sheetData>
    <row r="1" spans="2:14" ht="12.75" customHeight="1">
      <c r="B1" s="538" t="s">
        <v>1190</v>
      </c>
      <c r="C1" s="539"/>
      <c r="D1" s="539"/>
      <c r="E1" s="539"/>
      <c r="F1" s="539"/>
      <c r="G1" s="539"/>
      <c r="H1" s="539"/>
      <c r="I1" s="539"/>
      <c r="J1" s="539"/>
      <c r="K1" s="539"/>
      <c r="L1" s="540"/>
      <c r="M1" s="204"/>
    </row>
    <row r="2" spans="2:14" ht="12.75" customHeight="1">
      <c r="B2" s="541"/>
      <c r="C2" s="542" t="e">
        <v>#N/A</v>
      </c>
      <c r="D2" s="542"/>
      <c r="E2" s="542"/>
      <c r="F2" s="542"/>
      <c r="G2" s="542"/>
      <c r="H2" s="542"/>
      <c r="I2" s="542"/>
      <c r="J2" s="542"/>
      <c r="K2" s="542"/>
      <c r="L2" s="543"/>
      <c r="M2" s="204"/>
    </row>
    <row r="3" spans="2:14" ht="12.75" customHeight="1">
      <c r="B3" s="541"/>
      <c r="C3" s="542"/>
      <c r="D3" s="542"/>
      <c r="E3" s="542"/>
      <c r="F3" s="542"/>
      <c r="G3" s="542"/>
      <c r="H3" s="542"/>
      <c r="I3" s="542"/>
      <c r="J3" s="542"/>
      <c r="K3" s="542"/>
      <c r="L3" s="543"/>
      <c r="M3" s="204"/>
    </row>
    <row r="4" spans="2:14" ht="12.75" customHeight="1">
      <c r="B4" s="301" t="str">
        <f>IF(Form!I18="Yes","PCS Report - Step Point Method","PCS Report")</f>
        <v>PCS Report</v>
      </c>
      <c r="C4" s="302"/>
      <c r="D4" s="302"/>
      <c r="E4" s="302"/>
      <c r="F4" s="302"/>
      <c r="G4" s="302"/>
      <c r="H4" s="302"/>
      <c r="I4" s="302"/>
      <c r="J4" s="302"/>
      <c r="K4" s="302"/>
      <c r="L4" s="303"/>
      <c r="M4" s="204"/>
    </row>
    <row r="5" spans="2:14" ht="12.75" customHeight="1">
      <c r="B5" s="301"/>
      <c r="C5" s="302"/>
      <c r="D5" s="302"/>
      <c r="E5" s="302"/>
      <c r="F5" s="302"/>
      <c r="G5" s="302"/>
      <c r="H5" s="302"/>
      <c r="I5" s="302"/>
      <c r="J5" s="302"/>
      <c r="K5" s="302"/>
      <c r="L5" s="303"/>
      <c r="M5" s="204"/>
    </row>
    <row r="6" spans="2:14" ht="1.5" customHeight="1">
      <c r="B6" s="210"/>
      <c r="C6" s="210"/>
      <c r="D6" s="210"/>
      <c r="E6" s="210"/>
      <c r="F6" s="210"/>
      <c r="G6" s="210"/>
      <c r="H6" s="210"/>
      <c r="I6" s="210"/>
      <c r="J6" s="210"/>
      <c r="K6" s="210"/>
      <c r="L6" s="210"/>
      <c r="M6" s="204"/>
    </row>
    <row r="7" spans="2:14" ht="14.5">
      <c r="B7" s="225" t="s">
        <v>961</v>
      </c>
      <c r="C7" s="518" t="str">
        <f>IF(Form_Data!$B$2="","",Form_Data!$B$2)</f>
        <v>TIM</v>
      </c>
      <c r="D7" s="518"/>
      <c r="E7" s="518"/>
      <c r="F7" s="518"/>
      <c r="G7" s="518"/>
      <c r="H7" s="232"/>
      <c r="I7" s="232"/>
      <c r="J7" s="233" t="s">
        <v>0</v>
      </c>
      <c r="K7" s="544">
        <f ca="1">IF(Form_Data!$F$2="","",Form_Data!$F$2)</f>
        <v>45804</v>
      </c>
      <c r="L7" s="544"/>
      <c r="M7" s="205"/>
    </row>
    <row r="8" spans="2:14" ht="14.5">
      <c r="B8" s="225" t="s">
        <v>1192</v>
      </c>
      <c r="C8" s="518" t="str">
        <f>IF(Form_Data!$C$2="","",Form_Data!$C$2)</f>
        <v>tim/Tucson</v>
      </c>
      <c r="D8" s="518"/>
      <c r="E8" s="518"/>
      <c r="F8" s="518"/>
      <c r="G8" s="518"/>
      <c r="H8" s="232"/>
      <c r="I8" s="232"/>
      <c r="J8" s="233" t="s">
        <v>1194</v>
      </c>
      <c r="K8" s="545">
        <f>IF(Form_Data!$G$2="","",Form_Data!$G$2)</f>
        <v>15.3</v>
      </c>
      <c r="L8" s="545"/>
      <c r="M8" s="205"/>
    </row>
    <row r="9" spans="2:14" ht="14.5">
      <c r="B9" s="225" t="s">
        <v>1110</v>
      </c>
      <c r="C9" s="518" t="str">
        <f>IF(Form_Data!$D$2="","",Form_Data!$D$2)</f>
        <v>Newport</v>
      </c>
      <c r="D9" s="518"/>
      <c r="E9" s="225" t="s">
        <v>703</v>
      </c>
      <c r="F9" s="518" t="str">
        <f>IF(Form_Data!$E$2="","",Form_Data!$E$2)</f>
        <v>Pasture</v>
      </c>
      <c r="G9" s="518"/>
      <c r="H9" s="234" t="s">
        <v>1193</v>
      </c>
      <c r="I9" s="518" t="str">
        <f>IF(Form_Data!$J$2="","",Form_Data!$J$2)</f>
        <v>Goats,Horses</v>
      </c>
      <c r="J9" s="518"/>
      <c r="K9" s="518"/>
      <c r="L9" s="518"/>
      <c r="M9" s="205"/>
      <c r="N9" s="217"/>
    </row>
    <row r="10" spans="2:14" ht="14.5">
      <c r="B10" s="225" t="s">
        <v>1238</v>
      </c>
      <c r="C10" s="518" t="str">
        <f>IF(Form_Data!$K$2="","",Form_Data!$K$2)</f>
        <v>Normal</v>
      </c>
      <c r="D10" s="518"/>
      <c r="E10" s="225" t="s">
        <v>1239</v>
      </c>
      <c r="F10" s="518" t="str">
        <f>IF(Form_Data!$L$2="","",Form_Data!$L$2)</f>
        <v>Normal</v>
      </c>
      <c r="G10" s="518"/>
      <c r="H10" s="234" t="s">
        <v>1247</v>
      </c>
      <c r="I10" s="518">
        <f>IF(Form_Data!$H$2="","",Form_Data!$H$2)</f>
        <v>342</v>
      </c>
      <c r="J10" s="518"/>
      <c r="K10" s="518"/>
      <c r="L10" s="518"/>
      <c r="M10" s="205"/>
    </row>
    <row r="11" spans="2:14" ht="14.5">
      <c r="B11" s="234" t="s">
        <v>1196</v>
      </c>
      <c r="C11" s="234" t="str">
        <f>IF(Form_Data!$N$2="","",Form_Data!$N$2)</f>
        <v>No</v>
      </c>
      <c r="D11" s="547"/>
      <c r="E11" s="548"/>
      <c r="F11" s="548"/>
      <c r="G11" s="549"/>
      <c r="H11" s="537" t="s">
        <v>1195</v>
      </c>
      <c r="I11" s="537"/>
      <c r="J11" s="546">
        <f>IF(Form_Data!$M$2="","",MAX(Form_Data!A:A))</f>
        <v>1</v>
      </c>
      <c r="K11" s="546"/>
      <c r="L11" s="546"/>
      <c r="M11" s="205"/>
    </row>
    <row r="12" spans="2:14" ht="1.5" customHeight="1">
      <c r="B12" s="255"/>
      <c r="C12" s="214"/>
      <c r="D12" s="214"/>
      <c r="E12" s="214"/>
      <c r="F12" s="215"/>
      <c r="G12" s="215"/>
      <c r="H12" s="214"/>
      <c r="I12" s="214"/>
      <c r="J12" s="216"/>
      <c r="K12" s="216"/>
      <c r="L12" s="256"/>
      <c r="M12" s="205"/>
    </row>
    <row r="13" spans="2:14" ht="14.5">
      <c r="B13" s="522" t="s">
        <v>1202</v>
      </c>
      <c r="C13" s="523"/>
      <c r="D13" s="524"/>
      <c r="E13" s="213" t="s">
        <v>969</v>
      </c>
      <c r="F13" s="525" t="e" vm="1">
        <v>#VALUE!</v>
      </c>
      <c r="G13" s="526"/>
      <c r="H13" s="527"/>
      <c r="I13" s="522" t="s">
        <v>1202</v>
      </c>
      <c r="J13" s="523"/>
      <c r="K13" s="524"/>
      <c r="L13" s="213" t="s">
        <v>969</v>
      </c>
      <c r="M13" s="205"/>
    </row>
    <row r="14" spans="2:14" ht="14.5">
      <c r="B14" s="519" t="s">
        <v>1197</v>
      </c>
      <c r="C14" s="520"/>
      <c r="D14" s="521"/>
      <c r="E14" s="212">
        <f>IFERROR(IF($C$11="No",PCS!G9,IF($C$11="Yes",PCS!H9,"")),"Need Data")</f>
        <v>2</v>
      </c>
      <c r="F14" s="525"/>
      <c r="G14" s="526"/>
      <c r="H14" s="527"/>
      <c r="I14" s="519" t="s">
        <v>1203</v>
      </c>
      <c r="J14" s="520"/>
      <c r="K14" s="521"/>
      <c r="L14" s="212">
        <f>IF(PCS!G20="","",PCS!G20)</f>
        <v>3</v>
      </c>
      <c r="M14" s="205"/>
    </row>
    <row r="15" spans="2:14" ht="14.5">
      <c r="B15" s="519" t="s">
        <v>1198</v>
      </c>
      <c r="C15" s="520"/>
      <c r="D15" s="521"/>
      <c r="E15" s="212">
        <f>IFERROR(IF($C$11="No",PCS!G10,IF($C$11="Yes",PCS!H10,"")),"Need Data")</f>
        <v>3</v>
      </c>
      <c r="F15" s="525"/>
      <c r="G15" s="526"/>
      <c r="H15" s="527"/>
      <c r="I15" s="519" t="s">
        <v>1204</v>
      </c>
      <c r="J15" s="520"/>
      <c r="K15" s="521"/>
      <c r="L15" s="212">
        <f>IF(PCS!G24="","",PCS!G24)</f>
        <v>2</v>
      </c>
      <c r="M15" s="205"/>
    </row>
    <row r="16" spans="2:14" ht="14.5">
      <c r="B16" s="519" t="s">
        <v>1199</v>
      </c>
      <c r="C16" s="520"/>
      <c r="D16" s="521"/>
      <c r="E16" s="212">
        <f>IFERROR(IF($C$11="No",PCS!G11,IF($C$11="Yes",PCS!H11,"")),"Need Data")</f>
        <v>2</v>
      </c>
      <c r="F16" s="525"/>
      <c r="G16" s="526"/>
      <c r="H16" s="527"/>
      <c r="I16" s="519" t="s">
        <v>1205</v>
      </c>
      <c r="J16" s="520"/>
      <c r="K16" s="521"/>
      <c r="L16" s="212">
        <f>IF(PCS!G25="","",PCS!G25)</f>
        <v>4</v>
      </c>
      <c r="M16" s="205"/>
    </row>
    <row r="17" spans="2:14" ht="14.5">
      <c r="B17" s="519" t="s">
        <v>1200</v>
      </c>
      <c r="C17" s="520"/>
      <c r="D17" s="521"/>
      <c r="E17" s="212">
        <f>IF($C$11="No",PCS!G12,IF($C$11="Yes",PCS!H12,""))</f>
        <v>2</v>
      </c>
      <c r="F17" s="525"/>
      <c r="G17" s="526"/>
      <c r="H17" s="527"/>
      <c r="I17" s="519" t="s">
        <v>1206</v>
      </c>
      <c r="J17" s="520"/>
      <c r="K17" s="521"/>
      <c r="L17" s="212">
        <f>IF(PCS!G29="","",PCS!G29)</f>
        <v>2</v>
      </c>
      <c r="M17" s="208"/>
    </row>
    <row r="18" spans="2:14" ht="14.5">
      <c r="B18" s="519" t="s">
        <v>1201</v>
      </c>
      <c r="C18" s="520"/>
      <c r="D18" s="521"/>
      <c r="E18" s="212">
        <f>IF($C$11="No",PCS!G18,IF($C$11="Yes",PCS!H18,""))</f>
        <v>1</v>
      </c>
      <c r="F18" s="528"/>
      <c r="G18" s="529"/>
      <c r="H18" s="530"/>
      <c r="I18" s="519" t="s">
        <v>1207</v>
      </c>
      <c r="J18" s="520"/>
      <c r="K18" s="521"/>
      <c r="L18" s="212">
        <f>IF(PCS!H30="","",PCS!H30)</f>
        <v>1</v>
      </c>
      <c r="M18" s="208"/>
    </row>
    <row r="19" spans="2:14" ht="4.5" customHeight="1">
      <c r="B19" s="254"/>
      <c r="C19" s="205"/>
      <c r="D19" s="205"/>
      <c r="E19" s="205"/>
      <c r="F19" s="208"/>
      <c r="G19" s="208"/>
      <c r="H19" s="208"/>
      <c r="I19" s="206"/>
      <c r="J19" s="205"/>
      <c r="K19" s="208"/>
      <c r="L19" s="253"/>
      <c r="M19" s="208"/>
      <c r="N19" s="80"/>
    </row>
    <row r="20" spans="2:14" ht="14.5">
      <c r="B20" s="531" t="s">
        <v>1208</v>
      </c>
      <c r="C20" s="532"/>
      <c r="D20" s="532"/>
      <c r="E20" s="532"/>
      <c r="F20" s="532"/>
      <c r="G20" s="532"/>
      <c r="H20" s="532"/>
      <c r="I20" s="532"/>
      <c r="J20" s="532"/>
      <c r="K20" s="532"/>
      <c r="L20" s="533"/>
      <c r="M20" s="205"/>
    </row>
    <row r="21" spans="2:14" ht="14.5">
      <c r="B21" s="534" t="s">
        <v>1209</v>
      </c>
      <c r="C21" s="515"/>
      <c r="D21" s="515"/>
      <c r="E21" s="515" t="s">
        <v>1211</v>
      </c>
      <c r="F21" s="515"/>
      <c r="G21" s="515"/>
      <c r="H21" s="515" t="s">
        <v>1212</v>
      </c>
      <c r="I21" s="515"/>
      <c r="J21" s="515"/>
      <c r="K21" s="515"/>
      <c r="L21" s="535"/>
      <c r="M21" s="205"/>
    </row>
    <row r="22" spans="2:14" ht="14.5">
      <c r="B22" s="487" t="s">
        <v>1215</v>
      </c>
      <c r="C22" s="488"/>
      <c r="D22" s="489"/>
      <c r="E22" s="487" t="s">
        <v>1217</v>
      </c>
      <c r="F22" s="488"/>
      <c r="G22" s="489"/>
      <c r="H22" s="472" t="str">
        <f>IF(PCS!G30="","",IF(PCS!G30&lt;4,"Planning Criteria is NOT MET - Resource Concern exists","Planning Criteria IS MET - No Resource Concern Identified"))</f>
        <v>Planning Criteria is NOT MET - Resource Concern exists</v>
      </c>
      <c r="I22" s="473"/>
      <c r="J22" s="473"/>
      <c r="K22" s="473"/>
      <c r="L22" s="474"/>
      <c r="M22" s="205"/>
    </row>
    <row r="23" spans="2:14" ht="14.5">
      <c r="B23" s="508" t="s">
        <v>1216</v>
      </c>
      <c r="C23" s="509"/>
      <c r="D23" s="510"/>
      <c r="E23" s="487" t="s">
        <v>1218</v>
      </c>
      <c r="F23" s="488"/>
      <c r="G23" s="489"/>
      <c r="H23" s="472" t="str">
        <f>IF(PCS!G33="","",IF(PCS!G33&lt;4,"Planning Criteria is NOT MET - Resource Concern exists","Planning Criteria IS MET - No Resource Concern Identified"))</f>
        <v>Planning Criteria is NOT MET - Resource Concern exists</v>
      </c>
      <c r="I23" s="473"/>
      <c r="J23" s="473"/>
      <c r="K23" s="473"/>
      <c r="L23" s="474"/>
      <c r="M23" s="205"/>
    </row>
    <row r="24" spans="2:14" ht="15" customHeight="1">
      <c r="B24" s="516"/>
      <c r="C24" s="311"/>
      <c r="D24" s="517"/>
      <c r="E24" s="475" t="s">
        <v>1219</v>
      </c>
      <c r="F24" s="476"/>
      <c r="G24" s="477"/>
      <c r="H24" s="481" t="str">
        <f>IF(PCS!G32="","",IF(PCS!G32&lt;4,"Planning Criteria is NOT MET - Resource Concern exists","Planning Criteria IS MET - No Resource Concern Identified"))</f>
        <v>Planning Criteria is NOT MET - Resource Concern exists</v>
      </c>
      <c r="I24" s="482"/>
      <c r="J24" s="482"/>
      <c r="K24" s="482"/>
      <c r="L24" s="483"/>
      <c r="M24" s="205"/>
    </row>
    <row r="25" spans="2:14" ht="14.5">
      <c r="B25" s="511"/>
      <c r="C25" s="512"/>
      <c r="D25" s="513"/>
      <c r="E25" s="478"/>
      <c r="F25" s="479"/>
      <c r="G25" s="480"/>
      <c r="H25" s="484"/>
      <c r="I25" s="485"/>
      <c r="J25" s="485"/>
      <c r="K25" s="485"/>
      <c r="L25" s="486"/>
      <c r="M25" s="205"/>
    </row>
    <row r="26" spans="2:14" ht="14.5">
      <c r="B26" s="508" t="s">
        <v>1210</v>
      </c>
      <c r="C26" s="509"/>
      <c r="D26" s="510"/>
      <c r="E26" s="487" t="s">
        <v>1213</v>
      </c>
      <c r="F26" s="488"/>
      <c r="G26" s="489"/>
      <c r="H26" s="472" t="str">
        <f>IF(E14="","",IF(OR(E14&lt;4,E16&lt;4,L17&lt;4),"Planning Criteria is NOT MET - Resource Concern exists","Planning Criteria IS MET - No Resource Concern Identified"))</f>
        <v>Planning Criteria is NOT MET - Resource Concern exists</v>
      </c>
      <c r="I26" s="473"/>
      <c r="J26" s="473"/>
      <c r="K26" s="473"/>
      <c r="L26" s="474"/>
      <c r="M26" s="205"/>
    </row>
    <row r="27" spans="2:14" ht="14.5">
      <c r="B27" s="511"/>
      <c r="C27" s="512"/>
      <c r="D27" s="513"/>
      <c r="E27" s="487" t="s">
        <v>1214</v>
      </c>
      <c r="F27" s="488"/>
      <c r="G27" s="489"/>
      <c r="H27" s="472" t="str">
        <f>IF(E14="","",IF(OR(E14&lt;4,L17&lt;4),"Planning Criteria is NOT MET - Resource Concern exists","Planning Criteria IS MET - No Resource Concern Identified"))</f>
        <v>Planning Criteria is NOT MET - Resource Concern exists</v>
      </c>
      <c r="I27" s="473"/>
      <c r="J27" s="473"/>
      <c r="K27" s="473"/>
      <c r="L27" s="474"/>
      <c r="M27" s="205"/>
    </row>
    <row r="28" spans="2:14" ht="15" customHeight="1">
      <c r="B28" s="475" t="s">
        <v>1224</v>
      </c>
      <c r="C28" s="476"/>
      <c r="D28" s="477"/>
      <c r="E28" s="475" t="s">
        <v>1225</v>
      </c>
      <c r="F28" s="476"/>
      <c r="G28" s="477"/>
      <c r="H28" s="481" t="str">
        <f>IF(PCS!G32="","",IF(L15&lt;4,"Planning Criteria is NOT MET - Resource Concern exists","Planning Criteria IS MET - No Resource Concern Identified"))</f>
        <v>Planning Criteria is NOT MET - Resource Concern exists</v>
      </c>
      <c r="I28" s="482"/>
      <c r="J28" s="482"/>
      <c r="K28" s="482"/>
      <c r="L28" s="483"/>
      <c r="M28" s="205"/>
    </row>
    <row r="29" spans="2:14" ht="14.5">
      <c r="B29" s="478"/>
      <c r="C29" s="479"/>
      <c r="D29" s="480"/>
      <c r="E29" s="478"/>
      <c r="F29" s="479"/>
      <c r="G29" s="480"/>
      <c r="H29" s="484"/>
      <c r="I29" s="485"/>
      <c r="J29" s="485"/>
      <c r="K29" s="485"/>
      <c r="L29" s="486"/>
      <c r="M29" s="205"/>
    </row>
    <row r="30" spans="2:14" ht="15" customHeight="1">
      <c r="B30" s="475" t="s">
        <v>1224</v>
      </c>
      <c r="C30" s="476"/>
      <c r="D30" s="477"/>
      <c r="E30" s="475" t="s">
        <v>1226</v>
      </c>
      <c r="F30" s="476"/>
      <c r="G30" s="477"/>
      <c r="H30" s="481" t="str">
        <f>IF(PCS!G32="","",IF(OR(L15&lt;4,L18&lt;4),"Planning Criteria is NOT MET - Resource Concern exists","Planning Criteria IS MET - No Resource Concern Identified"))</f>
        <v>Planning Criteria is NOT MET - Resource Concern exists</v>
      </c>
      <c r="I30" s="482"/>
      <c r="J30" s="482"/>
      <c r="K30" s="482"/>
      <c r="L30" s="483"/>
      <c r="M30" s="205"/>
    </row>
    <row r="31" spans="2:14" ht="14.5">
      <c r="B31" s="478"/>
      <c r="C31" s="479"/>
      <c r="D31" s="480"/>
      <c r="E31" s="478"/>
      <c r="F31" s="479"/>
      <c r="G31" s="480"/>
      <c r="H31" s="484"/>
      <c r="I31" s="485"/>
      <c r="J31" s="485"/>
      <c r="K31" s="485"/>
      <c r="L31" s="486"/>
      <c r="M31" s="205"/>
    </row>
    <row r="32" spans="2:14" ht="14.5">
      <c r="B32" s="487" t="s">
        <v>1220</v>
      </c>
      <c r="C32" s="488"/>
      <c r="D32" s="489"/>
      <c r="E32" s="487" t="s">
        <v>1221</v>
      </c>
      <c r="F32" s="488"/>
      <c r="G32" s="489"/>
      <c r="H32" s="472" t="str">
        <f>IF(L14="","",IF(L14&lt;4,"Planning Criteria is NOT MET - Resource Concern exists","Planning Criteria IS MET - No Resource Concern Identified"))</f>
        <v>Planning Criteria is NOT MET - Resource Concern exists</v>
      </c>
      <c r="I32" s="473"/>
      <c r="J32" s="473"/>
      <c r="K32" s="473"/>
      <c r="L32" s="474"/>
      <c r="M32" s="205"/>
    </row>
    <row r="33" spans="2:13" ht="14.5">
      <c r="B33" s="487" t="s">
        <v>1222</v>
      </c>
      <c r="C33" s="488"/>
      <c r="D33" s="489"/>
      <c r="E33" s="487" t="s">
        <v>1223</v>
      </c>
      <c r="F33" s="488"/>
      <c r="G33" s="489"/>
      <c r="H33" s="472" t="str">
        <f>IF(E14="","",IF(OR(E14&lt;4,L17&lt;4),"Planning Criteria is NOT MET - Resource Concern exists","Planning Criteria IS MET - No Resource Concern Identified"))</f>
        <v>Planning Criteria is NOT MET - Resource Concern exists</v>
      </c>
      <c r="I33" s="473"/>
      <c r="J33" s="473"/>
      <c r="K33" s="473"/>
      <c r="L33" s="474"/>
      <c r="M33" s="205"/>
    </row>
    <row r="34" spans="2:13" ht="14.5">
      <c r="B34" s="487" t="s">
        <v>1227</v>
      </c>
      <c r="C34" s="488"/>
      <c r="D34" s="489"/>
      <c r="E34" s="499" t="s">
        <v>1228</v>
      </c>
      <c r="F34" s="500"/>
      <c r="G34" s="501"/>
      <c r="H34" s="472" t="str">
        <f>IF(L16="","",IF(L16&lt;4,"Planning Criteria is NOT MET - Resource Concern exists","Planning Criteria IS MET - No Resource Concern Identified"))</f>
        <v>Planning Criteria IS MET - No Resource Concern Identified</v>
      </c>
      <c r="I34" s="473"/>
      <c r="J34" s="473"/>
      <c r="K34" s="473"/>
      <c r="L34" s="474"/>
      <c r="M34" s="205"/>
    </row>
    <row r="35" spans="2:13" ht="14.5">
      <c r="B35" s="487" t="s">
        <v>1227</v>
      </c>
      <c r="C35" s="488"/>
      <c r="D35" s="489"/>
      <c r="E35" s="499" t="s">
        <v>1229</v>
      </c>
      <c r="F35" s="500"/>
      <c r="G35" s="501"/>
      <c r="H35" s="472" t="str">
        <f>IF(E16="","",IF(OR(E16&lt;4,E17&lt;4,E18&lt;4),"Planning Criteria is NOT MET - Resource Concern exists","Planning Criteria IS MET - No Resource Concern Identified"))</f>
        <v>Planning Criteria is NOT MET - Resource Concern exists</v>
      </c>
      <c r="I35" s="473"/>
      <c r="J35" s="473"/>
      <c r="K35" s="473"/>
      <c r="L35" s="474"/>
      <c r="M35" s="205"/>
    </row>
    <row r="36" spans="2:13" ht="15" customHeight="1">
      <c r="B36" s="508" t="s">
        <v>1227</v>
      </c>
      <c r="C36" s="509"/>
      <c r="D36" s="510"/>
      <c r="E36" s="502" t="s">
        <v>1230</v>
      </c>
      <c r="F36" s="503"/>
      <c r="G36" s="504"/>
      <c r="H36" s="481" t="str">
        <f>IF(E16="","",IF(OR(E16&lt;4,E17&lt;4,E18&lt;4,L16&lt;4),"Planning Criteria is NOT MET - Resource Concern exists","Planning Criteria IS MET - No Resource Concern Identified"))</f>
        <v>Planning Criteria is NOT MET - Resource Concern exists</v>
      </c>
      <c r="I36" s="482"/>
      <c r="J36" s="482"/>
      <c r="K36" s="482"/>
      <c r="L36" s="483"/>
      <c r="M36" s="205"/>
    </row>
    <row r="37" spans="2:13" ht="14.5">
      <c r="B37" s="511"/>
      <c r="C37" s="512"/>
      <c r="D37" s="513"/>
      <c r="E37" s="505"/>
      <c r="F37" s="506"/>
      <c r="G37" s="507"/>
      <c r="H37" s="484"/>
      <c r="I37" s="485"/>
      <c r="J37" s="485"/>
      <c r="K37" s="485"/>
      <c r="L37" s="486"/>
      <c r="M37" s="205"/>
    </row>
    <row r="38" spans="2:13" ht="14.5">
      <c r="B38" s="487" t="s">
        <v>1227</v>
      </c>
      <c r="C38" s="488"/>
      <c r="D38" s="489"/>
      <c r="E38" s="499" t="s">
        <v>1231</v>
      </c>
      <c r="F38" s="500"/>
      <c r="G38" s="501"/>
      <c r="H38" s="472" t="str">
        <f>IF(L16="","",IF(L16&lt;4,"Planning Criteria is NOT MET - Resource Concern exists","Planning Criteria IS MET - No Resource Concern Identified"))</f>
        <v>Planning Criteria IS MET - No Resource Concern Identified</v>
      </c>
      <c r="I38" s="473"/>
      <c r="J38" s="473"/>
      <c r="K38" s="473"/>
      <c r="L38" s="474"/>
      <c r="M38" s="205"/>
    </row>
    <row r="39" spans="2:13" ht="14.5">
      <c r="B39" s="487" t="s">
        <v>1232</v>
      </c>
      <c r="C39" s="488"/>
      <c r="D39" s="489"/>
      <c r="E39" s="487" t="s">
        <v>1233</v>
      </c>
      <c r="F39" s="488"/>
      <c r="G39" s="489"/>
      <c r="H39" s="472" t="str">
        <f>IF(L16="","",IF(OR(L16&lt;4,H27&lt;4),"Planning Criteria is NOT MET - Resource Concern exists","Planning Criteria IS MET - No Resource Concern Identified"))</f>
        <v>Planning Criteria IS MET - No Resource Concern Identified</v>
      </c>
      <c r="I39" s="473"/>
      <c r="J39" s="473"/>
      <c r="K39" s="473"/>
      <c r="L39" s="474"/>
      <c r="M39" s="205"/>
    </row>
    <row r="40" spans="2:13" ht="2.5" customHeight="1">
      <c r="B40" s="215"/>
      <c r="C40" s="215"/>
      <c r="D40" s="215"/>
      <c r="E40" s="215"/>
      <c r="F40" s="215"/>
      <c r="G40" s="215"/>
      <c r="H40" s="215"/>
      <c r="I40" s="215"/>
      <c r="J40" s="215"/>
      <c r="K40" s="215"/>
      <c r="L40" s="215"/>
      <c r="M40" s="205"/>
    </row>
    <row r="41" spans="2:13" ht="14.5">
      <c r="B41" s="207"/>
      <c r="C41" s="207"/>
      <c r="H41" s="205"/>
      <c r="I41" s="207"/>
      <c r="J41" s="207"/>
      <c r="K41" s="207"/>
      <c r="L41" s="205"/>
      <c r="M41" s="205"/>
    </row>
    <row r="42" spans="2:13" ht="14.5" hidden="1">
      <c r="B42" s="207"/>
      <c r="C42" s="207"/>
      <c r="H42" s="205"/>
      <c r="I42" s="207"/>
      <c r="J42" s="207"/>
      <c r="K42" s="207"/>
      <c r="L42" s="205"/>
      <c r="M42" s="205"/>
    </row>
    <row r="43" spans="2:13" ht="14.5" hidden="1">
      <c r="B43" s="207"/>
      <c r="C43" s="207"/>
      <c r="H43" s="205"/>
      <c r="I43" s="207"/>
      <c r="J43" s="207"/>
      <c r="K43" s="207"/>
      <c r="L43" s="205"/>
      <c r="M43" s="205"/>
    </row>
    <row r="44" spans="2:13" ht="14.5" hidden="1">
      <c r="B44" s="207"/>
      <c r="C44" s="207"/>
      <c r="H44" s="205"/>
      <c r="I44" s="207"/>
      <c r="J44" s="207"/>
      <c r="K44" s="207"/>
      <c r="L44" s="205"/>
      <c r="M44" s="205"/>
    </row>
    <row r="45" spans="2:13" ht="14.5" hidden="1">
      <c r="B45" s="213" t="s">
        <v>1237</v>
      </c>
      <c r="C45" s="220" t="s">
        <v>9</v>
      </c>
      <c r="D45" s="220" t="s">
        <v>10</v>
      </c>
      <c r="E45" s="220" t="s">
        <v>11</v>
      </c>
      <c r="H45" s="207"/>
      <c r="I45" s="222"/>
      <c r="J45" s="223"/>
      <c r="K45" s="224"/>
      <c r="L45" s="207"/>
      <c r="M45" s="205"/>
    </row>
    <row r="46" spans="2:13" ht="14.5" hidden="1">
      <c r="B46" s="221" t="s">
        <v>1234</v>
      </c>
      <c r="C46" s="219">
        <f ca="1">IFERROR(COUNTIF(OFFSET(Form_Data!$S$1,2,0,COUNTA(Form_Data!$S:$S),1),"Desirable")/MAX(Form_Data!A:A),"0")</f>
        <v>0</v>
      </c>
      <c r="D46" s="219">
        <f ca="1">IFERROR(COUNTIF(OFFSET(Form_Data!$S$1,2,0,COUNTA(Form_Data!$S:$S),1),"Intermediate")/MAX(Form_Data!A:A),"0")</f>
        <v>0</v>
      </c>
      <c r="E46" s="219">
        <f ca="1">IFERROR(COUNTIF(OFFSET(Form_Data!$S$1,2,0,COUNTA(Form_Data!$S:$S),1),"Undesirable")/MAX(Form_Data!A:A),"0")</f>
        <v>0</v>
      </c>
      <c r="H46" s="207"/>
      <c r="I46" s="222"/>
      <c r="J46" s="223"/>
      <c r="K46" s="224"/>
      <c r="L46" s="207"/>
      <c r="M46" s="205"/>
    </row>
    <row r="47" spans="2:13" ht="14.5" hidden="1">
      <c r="B47" s="221" t="s">
        <v>677</v>
      </c>
      <c r="C47" s="219">
        <f ca="1">IFERROR(COUNTIF(OFFSET(Form_Data!$T$1,2,0,COUNTA(Form_Data!$T:$T),1),"Desirable")/MAX(Form_Data!A:A),"0")</f>
        <v>0</v>
      </c>
      <c r="D47" s="219">
        <f ca="1">IFERROR(COUNTIF(OFFSET(Form_Data!$T$1,2,0,COUNTA(Form_Data!$T:$T),1),"Intermediate")/MAX(Form_Data!A:A),"0")</f>
        <v>0</v>
      </c>
      <c r="E47" s="219">
        <f ca="1">IFERROR(COUNTIF(OFFSET(Form_Data!$T$1,2,0,COUNTA(Form_Data!$T:$T),1),"Undesirable")/MAX(Form_Data!A:A),"0")</f>
        <v>0</v>
      </c>
      <c r="H47" s="207"/>
      <c r="I47" s="222"/>
      <c r="J47" s="222"/>
      <c r="K47" s="222"/>
      <c r="L47" s="207"/>
      <c r="M47" s="205"/>
    </row>
    <row r="48" spans="2:13" ht="14.5" hidden="1">
      <c r="B48" s="221" t="s">
        <v>1235</v>
      </c>
      <c r="C48" s="219">
        <f ca="1">IFERROR(COUNTIF(OFFSET(Form_Data!$U$1,2,0,COUNTA(Form_Data!$U:$U),1),"Desirable")/MAX(Form_Data!A:A),"0")</f>
        <v>0</v>
      </c>
      <c r="D48" s="219">
        <f ca="1">IFERROR(COUNTIF(OFFSET(Form_Data!$U$1,2,0,COUNTA(Form_Data!$U:$U),1),"Intermediate")/MAX(Form_Data!A:A),"0")</f>
        <v>0</v>
      </c>
      <c r="E48" s="219">
        <f ca="1">IFERROR(COUNTIF(OFFSET(Form_Data!$U$1,2,0,COUNTA(Form_Data!$U:$U),1),"Undesirable")/MAX(Form_Data!A:A),"0")</f>
        <v>0</v>
      </c>
      <c r="H48" s="207"/>
      <c r="I48" s="222"/>
      <c r="J48" s="222"/>
      <c r="K48" s="222"/>
      <c r="L48" s="207"/>
      <c r="M48" s="205"/>
    </row>
    <row r="49" spans="2:23" ht="14.5" hidden="1">
      <c r="B49" s="221" t="s">
        <v>1236</v>
      </c>
      <c r="C49" s="219">
        <f ca="1">IFERROR(COUNTIF(OFFSET(Form_Data!$V$1,2,0,COUNTA(Form_Data!$V:$V),1),"Desirable")/MAX(Form_Data!A:A),"0")</f>
        <v>0</v>
      </c>
      <c r="D49" s="219">
        <f ca="1">IFERROR(COUNTIF(OFFSET(Form_Data!$V$1,2,0,COUNTA(Form_Data!$V:$V),1),"Intermediate")/MAX(Form_Data!A:A),"0")</f>
        <v>0</v>
      </c>
      <c r="E49" s="219">
        <f ca="1">IFERROR(COUNTIF(OFFSET(Form_Data!$V$1,2,0,COUNTA(Form_Data!$V:$V),1),"Undesirable")/MAX(Form_Data!A:A),"0")</f>
        <v>0</v>
      </c>
      <c r="F49" s="207"/>
      <c r="G49" s="207"/>
      <c r="H49" s="207"/>
      <c r="I49" s="222"/>
      <c r="J49" s="222"/>
      <c r="K49" s="222"/>
      <c r="L49" s="207"/>
      <c r="M49" s="205"/>
    </row>
    <row r="50" spans="2:23" s="218" customFormat="1" ht="14.5" hidden="1">
      <c r="B50"/>
      <c r="C50"/>
      <c r="D50"/>
      <c r="E50"/>
      <c r="F50"/>
      <c r="G50"/>
      <c r="H50"/>
      <c r="I50"/>
      <c r="J50" s="227"/>
      <c r="K50" s="227"/>
      <c r="L50" s="226"/>
      <c r="M50" s="228"/>
      <c r="P50" s="235"/>
      <c r="U50"/>
      <c r="V50"/>
      <c r="W50"/>
    </row>
    <row r="51" spans="2:23" s="218" customFormat="1" ht="14.5" hidden="1">
      <c r="B51"/>
      <c r="C51"/>
      <c r="D51"/>
      <c r="E51"/>
      <c r="F51"/>
      <c r="G51"/>
      <c r="H51"/>
      <c r="I51"/>
      <c r="J51" s="227"/>
      <c r="K51" s="227"/>
      <c r="L51" s="226"/>
      <c r="M51" s="228"/>
      <c r="U51"/>
      <c r="V51"/>
      <c r="W51"/>
    </row>
    <row r="52" spans="2:23" s="218" customFormat="1" ht="14.5" hidden="1">
      <c r="B52"/>
      <c r="C52"/>
      <c r="D52"/>
      <c r="E52"/>
      <c r="F52"/>
      <c r="G52"/>
      <c r="H52"/>
      <c r="I52"/>
      <c r="J52" s="227"/>
      <c r="K52" s="227"/>
      <c r="L52" s="226"/>
      <c r="M52" s="228"/>
      <c r="U52"/>
      <c r="V52"/>
      <c r="W52"/>
    </row>
    <row r="53" spans="2:23" s="218" customFormat="1" ht="14.5" hidden="1">
      <c r="D53"/>
      <c r="E53"/>
      <c r="F53"/>
      <c r="G53"/>
      <c r="H53"/>
      <c r="I53"/>
      <c r="J53" s="227"/>
      <c r="K53" s="227"/>
      <c r="L53" s="226"/>
      <c r="M53" s="228"/>
      <c r="U53"/>
      <c r="V53"/>
      <c r="W53"/>
    </row>
    <row r="54" spans="2:23" s="218" customFormat="1" ht="14.5" hidden="1">
      <c r="D54"/>
      <c r="E54"/>
      <c r="F54"/>
      <c r="G54"/>
      <c r="H54"/>
      <c r="I54"/>
      <c r="J54" s="227"/>
      <c r="K54" s="227"/>
      <c r="L54" s="226"/>
      <c r="M54" s="228"/>
      <c r="U54"/>
      <c r="V54"/>
      <c r="W54"/>
    </row>
    <row r="55" spans="2:23" s="218" customFormat="1" ht="14.5" hidden="1">
      <c r="D55"/>
      <c r="E55" s="514" t="s">
        <v>685</v>
      </c>
      <c r="F55" s="514"/>
      <c r="G55"/>
      <c r="H55"/>
      <c r="L55" s="226"/>
      <c r="M55" s="228"/>
      <c r="U55"/>
      <c r="V55"/>
      <c r="W55"/>
    </row>
    <row r="56" spans="2:23" s="218" customFormat="1" ht="14.5" hidden="1">
      <c r="B56" s="515" t="s">
        <v>1245</v>
      </c>
      <c r="C56" s="515"/>
      <c r="D56"/>
      <c r="E56" s="225" t="s">
        <v>1242</v>
      </c>
      <c r="F56" s="219">
        <f ca="1">IFERROR(COUNTIF(OFFSET(Form_Data!$P$1,2,0,COUNTA(Form_Data!$P:$P),1),"Bare ground")/MAX(Form_Data!A:A),"0")</f>
        <v>0</v>
      </c>
      <c r="G56"/>
      <c r="H56" s="231"/>
      <c r="I56" s="515" t="s">
        <v>667</v>
      </c>
      <c r="J56" s="515"/>
      <c r="K56" s="515"/>
      <c r="L56" s="226"/>
      <c r="M56" s="228"/>
      <c r="U56"/>
      <c r="V56"/>
      <c r="W56"/>
    </row>
    <row r="57" spans="2:23" s="218" customFormat="1" ht="14.5" hidden="1">
      <c r="B57" s="225" t="s">
        <v>36</v>
      </c>
      <c r="C57" s="219">
        <f ca="1">IFERROR(COUNTIF(OFFSET(Form_Data!$Y$1,2,0,COUNTA(Form_Data!$Y:$Y),1),"Both")/MAX(Form_Data!A:A),"0")</f>
        <v>0</v>
      </c>
      <c r="D57"/>
      <c r="E57" s="225" t="s">
        <v>1243</v>
      </c>
      <c r="F57" s="219">
        <f ca="1">IFERROR(COUNTIF(OFFSET(Form_Data!$P$1,2,0,COUNTA(Form_Data!$P:$P),1),"Residue or Litter")/MAX(Form_Data!A:A),"0")</f>
        <v>0</v>
      </c>
      <c r="G57"/>
      <c r="H57" s="68"/>
      <c r="I57" s="537" t="s">
        <v>687</v>
      </c>
      <c r="J57" s="537"/>
      <c r="K57" s="219">
        <f ca="1">IFERROR(COUNTIF(OFFSET(Form_Data!$Q$1,2,0,COUNTA(Form_Data!$Q:$Q),1),"Alive &amp; Green")/MAX(Form_Data!A:A),"0")</f>
        <v>0</v>
      </c>
      <c r="L57" s="226"/>
      <c r="M57" s="226"/>
      <c r="Q57" s="236"/>
      <c r="U57"/>
      <c r="V57"/>
      <c r="W57"/>
    </row>
    <row r="58" spans="2:23" s="218" customFormat="1" ht="14.5" hidden="1">
      <c r="B58" s="225" t="s">
        <v>1241</v>
      </c>
      <c r="C58" s="219">
        <f ca="1">IFERROR(COUNTIF(OFFSET(Form_Data!$Y$1,2,0,COUNTA(Form_Data!$Y:$Y),1),"Introduced")/MAX(Form_Data!A:A),"0")</f>
        <v>0</v>
      </c>
      <c r="D58"/>
      <c r="E58" s="225" t="s">
        <v>1244</v>
      </c>
      <c r="F58" s="219">
        <f ca="1">IFERROR(COUNTIF(OFFSET(Form_Data!$P$1,2,0,COUNTA(Form_Data!$P:$P),1),"Stone or rock")/MAX(Form_Data!A:A),"0")</f>
        <v>0</v>
      </c>
      <c r="G58"/>
      <c r="H58" s="68"/>
      <c r="I58" s="537" t="s">
        <v>686</v>
      </c>
      <c r="J58" s="537"/>
      <c r="K58" s="219">
        <f ca="1">IFERROR(COUNTIF(OFFSET(Form_Data!$Q$1,2,0,COUNTA(Form_Data!$Q:$Q),1),"Dead Material")/MAX(Form_Data!A:A),"0")</f>
        <v>0</v>
      </c>
      <c r="L58" s="226"/>
      <c r="M58" s="226"/>
      <c r="Q58" s="236"/>
      <c r="U58"/>
      <c r="V58"/>
      <c r="W58"/>
    </row>
    <row r="59" spans="2:23" s="218" customFormat="1" ht="14.5" hidden="1">
      <c r="B59" s="225" t="s">
        <v>1240</v>
      </c>
      <c r="C59" s="219">
        <f ca="1">IFERROR(COUNTIF(OFFSET(Form_Data!$Y$1,2,0,COUNTA(Form_Data!$Y:$Y),1),"Native")/MAX(Form_Data!A:A),"0")</f>
        <v>0</v>
      </c>
      <c r="D59"/>
      <c r="E59" s="225" t="s">
        <v>678</v>
      </c>
      <c r="F59" s="219">
        <f ca="1">IFERROR(COUNTIF(OFFSET(Form_Data!$P$1,2,0,COUNTA(Form_Data!$P:$P),1),"Other cover")/MAX(Form_Data!A:A),"0")</f>
        <v>0</v>
      </c>
      <c r="G59"/>
      <c r="H59" s="68"/>
      <c r="I59" s="537" t="s">
        <v>4</v>
      </c>
      <c r="J59" s="537"/>
      <c r="K59" s="219">
        <f ca="1">IFERROR(COUNTIF(OFFSET(Form_Data!$Q$1,2,0,COUNTA(Form_Data!$Q:$Q),1),"No Cover")/MAX(Form_Data!A:A),"0")</f>
        <v>0</v>
      </c>
      <c r="L59" s="226"/>
      <c r="M59" s="226"/>
      <c r="Q59" s="236"/>
      <c r="U59"/>
      <c r="V59"/>
      <c r="W59"/>
    </row>
    <row r="60" spans="2:23" s="218" customFormat="1" ht="14.5" hidden="1">
      <c r="B60"/>
      <c r="C60"/>
      <c r="D60"/>
      <c r="E60"/>
      <c r="F60"/>
      <c r="G60"/>
      <c r="H60"/>
      <c r="I60"/>
      <c r="J60" s="227"/>
      <c r="K60" s="227"/>
      <c r="L60" s="226"/>
      <c r="M60" s="226"/>
      <c r="Q60" s="236"/>
      <c r="U60"/>
      <c r="V60"/>
      <c r="W60"/>
    </row>
    <row r="61" spans="2:23" s="218" customFormat="1" ht="14" hidden="1">
      <c r="B61"/>
      <c r="C61"/>
      <c r="D61"/>
      <c r="E61"/>
      <c r="F61"/>
      <c r="G61"/>
      <c r="H61"/>
      <c r="I61"/>
      <c r="J61" s="227"/>
      <c r="K61" s="227"/>
      <c r="L61" s="226"/>
      <c r="M61" s="226"/>
      <c r="U61"/>
      <c r="V61"/>
      <c r="W61"/>
    </row>
    <row r="62" spans="2:23" s="218" customFormat="1" ht="14" hidden="1">
      <c r="B62"/>
      <c r="C62"/>
      <c r="D62"/>
      <c r="E62"/>
      <c r="F62"/>
      <c r="G62"/>
      <c r="H62"/>
      <c r="I62"/>
      <c r="J62" s="227"/>
      <c r="K62" s="227"/>
      <c r="L62" s="226"/>
      <c r="M62" s="226"/>
      <c r="U62"/>
      <c r="V62"/>
      <c r="W62"/>
    </row>
    <row r="63" spans="2:23" s="218" customFormat="1" ht="14" hidden="1">
      <c r="B63"/>
      <c r="C63"/>
      <c r="D63"/>
      <c r="E63"/>
      <c r="F63"/>
      <c r="G63"/>
      <c r="H63"/>
      <c r="I63"/>
      <c r="J63" s="227"/>
      <c r="K63" s="227"/>
      <c r="L63" s="226"/>
      <c r="M63" s="226"/>
      <c r="U63"/>
      <c r="V63"/>
      <c r="W63"/>
    </row>
    <row r="64" spans="2:23" s="218" customFormat="1" ht="14" hidden="1">
      <c r="B64"/>
      <c r="C64"/>
      <c r="D64"/>
      <c r="E64"/>
      <c r="F64"/>
      <c r="G64"/>
      <c r="H64"/>
      <c r="I64"/>
      <c r="J64" s="227"/>
      <c r="K64" s="227"/>
      <c r="L64" s="226"/>
      <c r="M64" s="226"/>
      <c r="U64"/>
      <c r="V64"/>
      <c r="W64"/>
    </row>
    <row r="65" spans="2:23" s="218" customFormat="1" ht="14" hidden="1">
      <c r="B65"/>
      <c r="C65"/>
      <c r="D65"/>
      <c r="E65"/>
      <c r="F65"/>
      <c r="G65"/>
      <c r="H65"/>
      <c r="I65"/>
      <c r="J65" s="227"/>
      <c r="K65" s="227"/>
      <c r="L65" s="226"/>
      <c r="M65" s="226"/>
      <c r="U65"/>
      <c r="V65"/>
      <c r="W65"/>
    </row>
    <row r="66" spans="2:23" s="218" customFormat="1" ht="14" hidden="1">
      <c r="B66"/>
      <c r="C66"/>
      <c r="D66"/>
      <c r="E66"/>
      <c r="F66"/>
      <c r="G66"/>
      <c r="H66"/>
      <c r="I66"/>
      <c r="J66" s="227"/>
      <c r="K66" s="227"/>
      <c r="L66" s="226"/>
      <c r="M66" s="226"/>
      <c r="U66"/>
      <c r="V66"/>
      <c r="W66"/>
    </row>
    <row r="67" spans="2:23" s="218" customFormat="1" ht="14" hidden="1">
      <c r="B67"/>
      <c r="C67"/>
      <c r="D67"/>
      <c r="E67"/>
      <c r="F67"/>
      <c r="G67"/>
      <c r="H67"/>
      <c r="I67"/>
      <c r="J67" s="227"/>
      <c r="K67" s="227"/>
      <c r="L67" s="226"/>
      <c r="M67" s="226"/>
      <c r="U67"/>
      <c r="V67"/>
      <c r="W67"/>
    </row>
    <row r="68" spans="2:23" s="218" customFormat="1" ht="14" hidden="1">
      <c r="B68"/>
      <c r="C68"/>
      <c r="D68"/>
      <c r="E68"/>
      <c r="F68"/>
      <c r="G68"/>
      <c r="H68"/>
      <c r="I68"/>
      <c r="J68" s="227"/>
      <c r="K68" s="227"/>
      <c r="L68" s="226"/>
      <c r="M68" s="226"/>
      <c r="U68"/>
      <c r="V68"/>
      <c r="W68"/>
    </row>
    <row r="69" spans="2:23" s="218" customFormat="1" ht="14" hidden="1">
      <c r="B69"/>
      <c r="C69"/>
      <c r="D69"/>
      <c r="E69"/>
      <c r="F69"/>
      <c r="G69"/>
      <c r="H69"/>
      <c r="I69"/>
      <c r="J69" s="227"/>
      <c r="K69" s="227"/>
      <c r="L69" s="226"/>
      <c r="M69" s="226"/>
      <c r="U69"/>
      <c r="V69"/>
      <c r="W69"/>
    </row>
    <row r="70" spans="2:23" s="218" customFormat="1" ht="14" hidden="1">
      <c r="B70"/>
      <c r="C70"/>
      <c r="D70"/>
      <c r="E70"/>
      <c r="F70"/>
      <c r="G70"/>
      <c r="H70"/>
      <c r="I70"/>
      <c r="J70" s="227"/>
      <c r="K70" s="227"/>
      <c r="L70" s="226"/>
      <c r="M70" s="226"/>
    </row>
    <row r="71" spans="2:23" ht="1.5" hidden="1" customHeight="1">
      <c r="B71" s="536"/>
      <c r="C71" s="536"/>
      <c r="D71" s="536"/>
      <c r="E71" s="536"/>
      <c r="F71" s="536"/>
      <c r="G71" s="536"/>
      <c r="H71" s="536"/>
      <c r="I71" s="536"/>
      <c r="J71" s="536"/>
      <c r="K71" s="536"/>
      <c r="L71" s="536"/>
    </row>
    <row r="72" spans="2:23" ht="14.5" hidden="1">
      <c r="J72" s="205"/>
      <c r="K72" s="205"/>
      <c r="L72" s="208"/>
    </row>
    <row r="73" spans="2:23" hidden="1">
      <c r="B73" s="490" t="str">
        <f ca="1">Form_Data!$Z$2</f>
        <v>Timothy</v>
      </c>
      <c r="C73" s="491"/>
      <c r="D73" s="491"/>
      <c r="E73" s="491"/>
      <c r="F73" s="491"/>
      <c r="G73" s="491"/>
      <c r="H73" s="491"/>
      <c r="I73" s="491"/>
      <c r="J73" s="491"/>
      <c r="K73" s="491"/>
      <c r="L73" s="492"/>
    </row>
    <row r="74" spans="2:23" hidden="1">
      <c r="B74" s="493"/>
      <c r="C74" s="494"/>
      <c r="D74" s="494"/>
      <c r="E74" s="494"/>
      <c r="F74" s="494"/>
      <c r="G74" s="494"/>
      <c r="H74" s="494"/>
      <c r="I74" s="494"/>
      <c r="J74" s="494"/>
      <c r="K74" s="494"/>
      <c r="L74" s="495"/>
      <c r="T74" s="229"/>
    </row>
    <row r="75" spans="2:23" hidden="1">
      <c r="B75" s="493"/>
      <c r="C75" s="494"/>
      <c r="D75" s="494"/>
      <c r="E75" s="494"/>
      <c r="F75" s="494"/>
      <c r="G75" s="494"/>
      <c r="H75" s="494"/>
      <c r="I75" s="494"/>
      <c r="J75" s="494"/>
      <c r="K75" s="494"/>
      <c r="L75" s="495"/>
    </row>
    <row r="76" spans="2:23" hidden="1">
      <c r="B76" s="496"/>
      <c r="C76" s="497"/>
      <c r="D76" s="497"/>
      <c r="E76" s="497"/>
      <c r="F76" s="497"/>
      <c r="G76" s="497"/>
      <c r="H76" s="497"/>
      <c r="I76" s="497"/>
      <c r="J76" s="497"/>
      <c r="K76" s="497"/>
      <c r="L76" s="498"/>
    </row>
    <row r="77" spans="2:23" ht="14.5" hidden="1">
      <c r="D77" s="46"/>
      <c r="E77" s="46"/>
      <c r="F77" s="46"/>
      <c r="G77" s="46"/>
      <c r="H77" s="46"/>
      <c r="I77" s="46"/>
      <c r="J77" s="46"/>
      <c r="K77" s="46"/>
      <c r="L77" s="46"/>
    </row>
    <row r="78" spans="2:23" ht="15.5" hidden="1">
      <c r="B78" s="242" t="s">
        <v>1262</v>
      </c>
      <c r="C78" s="552"/>
      <c r="D78" s="553"/>
      <c r="E78" s="553"/>
      <c r="F78" s="553"/>
      <c r="G78" s="554"/>
      <c r="H78" s="239" t="s">
        <v>1264</v>
      </c>
      <c r="I78" s="240">
        <f ca="1">COUNT($F$80:$F$96)</f>
        <v>1</v>
      </c>
      <c r="J78" s="555" t="s">
        <v>1263</v>
      </c>
      <c r="K78" s="555"/>
      <c r="L78" s="556"/>
      <c r="P78" s="551" t="s">
        <v>1260</v>
      </c>
      <c r="Q78" s="551"/>
      <c r="R78" s="551"/>
      <c r="S78" s="551"/>
      <c r="T78" s="551"/>
    </row>
    <row r="79" spans="2:23" ht="14.5" hidden="1">
      <c r="B79" s="293" t="s">
        <v>1259</v>
      </c>
      <c r="C79" s="244" t="s">
        <v>9</v>
      </c>
      <c r="D79" s="245" t="s">
        <v>1261</v>
      </c>
      <c r="E79" s="245" t="s">
        <v>712</v>
      </c>
      <c r="F79" s="247" t="s">
        <v>1257</v>
      </c>
      <c r="G79" s="247" t="s">
        <v>1258</v>
      </c>
      <c r="H79" s="558"/>
      <c r="I79" s="558"/>
      <c r="J79" s="558"/>
      <c r="K79" s="220" t="s">
        <v>1258</v>
      </c>
      <c r="L79" s="220" t="s">
        <v>1257</v>
      </c>
      <c r="M79" s="231"/>
      <c r="N79" s="231"/>
      <c r="O79" s="231"/>
      <c r="P79" s="249"/>
      <c r="Q79" s="262" t="s">
        <v>1271</v>
      </c>
      <c r="R79" s="262" t="s">
        <v>1271</v>
      </c>
      <c r="S79" s="262" t="s">
        <v>1272</v>
      </c>
      <c r="T79" s="262" t="s">
        <v>1272</v>
      </c>
    </row>
    <row r="80" spans="2:23" ht="14.5" hidden="1">
      <c r="B80" s="228"/>
      <c r="C80" s="68" t="str">
        <f>IF($B80="","", VLOOKUP($B80,Form_Reference!$A$3:$H$278,8,FALSE))</f>
        <v/>
      </c>
      <c r="D80" s="236" t="str">
        <f t="shared" ref="D80:D96" ca="1" si="0">IF($G80="","",IF($G80&gt;=0.15,"Dominant","Minor"))</f>
        <v/>
      </c>
      <c r="E80" s="68" t="str">
        <f>IF($B80="","", VLOOKUP($B80,Form_Reference!$A$3:$H$278,6,FALSE))</f>
        <v/>
      </c>
      <c r="F80" s="246" t="str">
        <f ca="1">IF($B80="","",COUNTIF(OFFSET(Form_Data!$O$1,2,0,COUNTA(Form_Data!$O:$O),1),$B80))</f>
        <v/>
      </c>
      <c r="G80" s="248" t="str">
        <f ca="1">IF($B80="","",COUNTIF(OFFSET(Form_Data!$O$1,2,0,COUNTA(Form_Data!$O:$O),1),$B80)/MAX(Form_Data!A:A))</f>
        <v/>
      </c>
      <c r="H80" s="550" t="s">
        <v>84</v>
      </c>
      <c r="I80" s="550"/>
      <c r="J80" s="550"/>
      <c r="K80" s="219">
        <f ca="1">IFERROR(COUNTIF(OFFSET(Form_Data!$R$1,2,0,COUNTA(Form_Data!$R:$R),1),"CSGrass")/MAX(Form_Data!A:A),"0")</f>
        <v>0</v>
      </c>
      <c r="L80" s="238">
        <f ca="1">COUNTIF(OFFSET(Form_Data!$R$1,2,0,COUNTA(Form_Data!$R:$R),1),"CSGrass")</f>
        <v>0</v>
      </c>
      <c r="M80" s="231"/>
      <c r="N80" s="231"/>
      <c r="O80" s="231"/>
      <c r="P80" s="234" t="s">
        <v>84</v>
      </c>
      <c r="Q80" s="258">
        <f ca="1">COUNTIFS($E$80:$E$96,"CSGrass",$D$80:$D$96,"Dominant",$C$80:$C$96,"Desirable*")</f>
        <v>0</v>
      </c>
      <c r="R80" s="259">
        <f ca="1">IFERROR(SUMIFS($F$80:$F$96,$E$80:$E$96,"CSGrass",$D$80:$D$96,"Dominant",$C$80:$C$96,"Desirable*")/MAX(Form_Data!$A:$A),"0")</f>
        <v>0</v>
      </c>
      <c r="S80" s="258">
        <f ca="1">COUNTIFS($E$80:$E$96,"CSGrass",$D$80:$D$96,"Minor",$C$80:$C$96,"Desirable*")</f>
        <v>1</v>
      </c>
      <c r="T80" s="259">
        <f ca="1">IFERROR(SUMIFS($F$80:$F$96,$E$80:$E$96,"CSGrass",$D$80:$D$96,"Minor",$C$80:$C$96,"Desirable*")/MAX(Form_Data!$A:$A),"0")</f>
        <v>0</v>
      </c>
    </row>
    <row r="81" spans="2:20" ht="14.5" hidden="1">
      <c r="B81" s="228" t="s">
        <v>934</v>
      </c>
      <c r="C81" s="68" t="str">
        <f>IF($B81="","", VLOOKUP($B81,Form_Reference!$A$3:$H$278,8,FALSE))</f>
        <v>Desirable</v>
      </c>
      <c r="D81" s="236" t="str">
        <f t="shared" ca="1" si="0"/>
        <v>Minor</v>
      </c>
      <c r="E81" s="68" t="str">
        <f>IF($B81="","", VLOOKUP($B81,Form_Reference!$A$3:$H$278,6,FALSE))</f>
        <v>CSGrass</v>
      </c>
      <c r="F81" s="246">
        <f ca="1">IF($B81="","",COUNTIF(OFFSET(Form_Data!$O$1,2,0,COUNTA(Form_Data!$O:$O),1),$B81))</f>
        <v>0</v>
      </c>
      <c r="G81" s="248">
        <f ca="1">IF($B81="","",COUNTIF(OFFSET(Form_Data!$O$1,2,0,COUNTA(Form_Data!$O:$O),1),$B81)/MAX(Form_Data!A:A))</f>
        <v>0</v>
      </c>
      <c r="H81" s="550" t="s">
        <v>66</v>
      </c>
      <c r="I81" s="550"/>
      <c r="J81" s="550"/>
      <c r="K81" s="219">
        <f ca="1">IFERROR(COUNTIF(OFFSET(Form_Data!$R$1,2,0,COUNTA(Form_Data!$R:$R),1),"WSGrass")/MAX(Form_Data!A:A),"0")</f>
        <v>0</v>
      </c>
      <c r="L81" s="238">
        <f ca="1">COUNTIF(OFFSET(Form_Data!$R$1,2,0,COUNTA(Form_Data!$R:$R),1),"WSGrass")</f>
        <v>0</v>
      </c>
      <c r="M81" s="231"/>
      <c r="N81" s="231"/>
      <c r="O81" s="231"/>
      <c r="P81" s="234" t="s">
        <v>66</v>
      </c>
      <c r="Q81" s="258">
        <f>COUNTIFS($E$80:$E$96,"WSGrass",$D$80:$D$96,"Dominant",$C$80:$C$96,"Desirable*")</f>
        <v>0</v>
      </c>
      <c r="R81" s="259">
        <f>IFERROR(SUMIFS($F$80:$F$96,$E$80:$E$96,"WSGrass",$D$80:$D$96,"Dominant",$C$80:$C$96,"Desirable*")/MAX(Form_Data!A:A),"0")</f>
        <v>0</v>
      </c>
      <c r="S81" s="258">
        <f>COUNTIFS($E$80:$E$96,"WSGrass",$D$80:$D$96,"Minor",$C$80:$C$96,"Desirable*")</f>
        <v>0</v>
      </c>
      <c r="T81" s="259">
        <f>IFERROR(SUMIFS($F$80:$F$96,$E$80:$E$96,"WSGrass",$D$80:$D$96,"Minor",$C$80:$C$96,"Desirable*")/MAX(Form_Data!$A:$A),"0")</f>
        <v>0</v>
      </c>
    </row>
    <row r="82" spans="2:20" ht="14.5" hidden="1">
      <c r="C82" s="68" t="str">
        <f>IF($B82="","", VLOOKUP($B82,Form_Reference!$A$3:$H$278,8,FALSE))</f>
        <v/>
      </c>
      <c r="D82" s="236" t="str">
        <f t="shared" ca="1" si="0"/>
        <v/>
      </c>
      <c r="E82" s="68" t="str">
        <f>IF($B82="","", VLOOKUP($B82,Form_Reference!$A$3:$H$278,6,FALSE))</f>
        <v/>
      </c>
      <c r="F82" s="246" t="str">
        <f ca="1">IF($B82="","",COUNTIF(OFFSET(Form_Data!$O$1,2,0,COUNTA(Form_Data!$O:$O),1),$B82))</f>
        <v/>
      </c>
      <c r="G82" s="248" t="str">
        <f ca="1">IF($B82="","",COUNTIF(OFFSET(Form_Data!$O$1,2,0,COUNTA(Form_Data!$O:$O),1),$B82)/MAX(Form_Data!A:A))</f>
        <v/>
      </c>
      <c r="H82" s="550" t="s">
        <v>41</v>
      </c>
      <c r="I82" s="550"/>
      <c r="J82" s="550"/>
      <c r="K82" s="219">
        <f ca="1">IFERROR(COUNTIF(OFFSET(Form_Data!$R$1,2,0,COUNTA(Form_Data!$R:$R),1),"Legume")/MAX(Form_Data!A:A),"0")</f>
        <v>0</v>
      </c>
      <c r="L82" s="238">
        <f ca="1">COUNTIF(OFFSET(Form_Data!$R$1,2,0,COUNTA(Form_Data!$R:$R),1),"Legume")</f>
        <v>0</v>
      </c>
      <c r="M82" s="231"/>
      <c r="N82" s="231"/>
      <c r="O82" s="231"/>
      <c r="P82" s="234" t="s">
        <v>41</v>
      </c>
      <c r="Q82" s="258">
        <f>COUNTIFS($E$80:$E$96,"Legume",$D$80:$D$96,"Dominant",$C$80:$C$96,"Desirable*")</f>
        <v>0</v>
      </c>
      <c r="R82" s="259">
        <f>IFERROR(SUMIFS($F$80:$F$96,$E$80:$E$96,"Legume",$D$80:$D$96,"Dominant",$C$80:$C$96,"Desirable*")/MAX(Form_Data!A:A),"0")</f>
        <v>0</v>
      </c>
      <c r="S82" s="258">
        <f>COUNTIFS($E$80:$E$96,"Legume",$D$80:$D$96,"Minor",$C$80:$C$96,"Desirable*")</f>
        <v>0</v>
      </c>
      <c r="T82" s="259">
        <f>IFERROR(SUMIFS($F$80:$F$96,$E$80:$E$96,"Legume",$D$80:$D$96,"Minor",$C$80:$C$96,"Desirable*")/MAX(Form_Data!$A:$A),"0")</f>
        <v>0</v>
      </c>
    </row>
    <row r="83" spans="2:20" ht="14.5" hidden="1">
      <c r="C83" s="68" t="str">
        <f>IF($B83="","", VLOOKUP($B83,Form_Reference!$A$3:$H$278,8,FALSE))</f>
        <v/>
      </c>
      <c r="D83" s="236" t="str">
        <f t="shared" ca="1" si="0"/>
        <v/>
      </c>
      <c r="E83" s="68" t="str">
        <f>IF($B83="","", VLOOKUP($B83,Form_Reference!$A$3:$H$278,6,FALSE))</f>
        <v/>
      </c>
      <c r="F83" s="246" t="str">
        <f ca="1">IF($B83="","",COUNTIF(OFFSET(Form_Data!$O$1,2,0,COUNTA(Form_Data!$O:$O),1),$B83))</f>
        <v/>
      </c>
      <c r="G83" s="248" t="str">
        <f ca="1">IF($B83="","",COUNTIF(OFFSET(Form_Data!$O$1,2,0,COUNTA(Form_Data!$O:$O),1),$B83)/MAX(Form_Data!A:A))</f>
        <v/>
      </c>
      <c r="H83" s="550" t="s">
        <v>12</v>
      </c>
      <c r="I83" s="550"/>
      <c r="J83" s="550"/>
      <c r="K83" s="219">
        <f ca="1">IFERROR(COUNTIF(OFFSET(Form_Data!$R$1,2,0,COUNTA(Form_Data!$R:$R),1),"Forb")/MAX(Form_Data!A:A),"0")</f>
        <v>0</v>
      </c>
      <c r="L83" s="238">
        <f ca="1">COUNTIF(OFFSET(Form_Data!$R$1,2,0,COUNTA(Form_Data!$R:$R),1),"Forb")</f>
        <v>0</v>
      </c>
      <c r="M83" s="231"/>
      <c r="N83" s="231"/>
      <c r="O83" s="231"/>
      <c r="P83" s="234" t="s">
        <v>12</v>
      </c>
      <c r="Q83" s="258">
        <f>COUNTIFS($E$80:$E$96,"Forb",$D$80:$D$96,"Dominant",$C$80:$C$96,"Desirable*")</f>
        <v>0</v>
      </c>
      <c r="R83" s="259">
        <f>IFERROR(SUMIFS($F$80:$F$96,$E$80:$E$96,"Forb",$D$80:$D$96,"Dominant",$C$80:$C$96,"Desirable*")/MAX(Form_Data!A:A),"0")</f>
        <v>0</v>
      </c>
      <c r="S83" s="258">
        <f>COUNTIFS($E$80:$E$96,"Forb",$D$80:$D$96,"Minor",$C$80:$C$96,"Desirable*")</f>
        <v>0</v>
      </c>
      <c r="T83" s="259">
        <f>IFERROR(SUMIFS($F$80:$F$96,$E$80:$E$96,"Form",$D$80:$D$96,"Minor",$C$80:$C$96,"Desirable*")/MAX(Form_Data!$A:$A),"0")</f>
        <v>0</v>
      </c>
    </row>
    <row r="84" spans="2:20" ht="14.5" hidden="1">
      <c r="C84" s="68" t="str">
        <f>IF($B84="","", VLOOKUP($B84,Form_Reference!$A$3:$H$278,8,FALSE))</f>
        <v/>
      </c>
      <c r="D84" s="236" t="str">
        <f t="shared" ca="1" si="0"/>
        <v/>
      </c>
      <c r="E84" s="68" t="str">
        <f>IF($B84="","", VLOOKUP($B84,Form_Reference!$A$3:$H$278,6,FALSE))</f>
        <v/>
      </c>
      <c r="F84" s="246" t="str">
        <f ca="1">IF($B84="","",COUNTIF(OFFSET(Form_Data!$O$1,2,0,COUNTA(Form_Data!$O:$O),1),$B84))</f>
        <v/>
      </c>
      <c r="G84" s="248" t="str">
        <f ca="1">IF($B84="","",COUNTIF(OFFSET(Form_Data!$O$1,2,0,COUNTA(Form_Data!$O:$O),1),$B84)/MAX(Form_Data!A:A))</f>
        <v/>
      </c>
      <c r="H84" s="550" t="s">
        <v>59</v>
      </c>
      <c r="I84" s="550"/>
      <c r="J84" s="550"/>
      <c r="K84" s="219">
        <f ca="1">IFERROR(COUNTIF(OFFSET(Form_Data!$R$1,2,0,COUNTA(Form_Data!$R:$R),1),"Woody")/MAX(Form_Data!A:A),"0")</f>
        <v>0</v>
      </c>
      <c r="L84" s="238">
        <f ca="1">COUNTIF(OFFSET(Form_Data!$R$1,2,0,COUNTA(Form_Data!$R:$R),1),"Woody")</f>
        <v>0</v>
      </c>
      <c r="M84" s="231"/>
      <c r="N84" s="231"/>
      <c r="O84" s="231"/>
      <c r="P84" s="250" t="s">
        <v>1267</v>
      </c>
      <c r="Q84" s="260">
        <f ca="1">COUNTIFS(Q80:Q83,"&gt;0")</f>
        <v>0</v>
      </c>
      <c r="R84" s="261">
        <f ca="1">SUM(R80:R83)</f>
        <v>0</v>
      </c>
      <c r="S84" s="260">
        <f ca="1">COUNTIFS(S80:S83,"&gt;0")</f>
        <v>1</v>
      </c>
      <c r="T84" s="261">
        <f t="shared" ref="T84" ca="1" si="1">SUM(T80:T83)</f>
        <v>0</v>
      </c>
    </row>
    <row r="85" spans="2:20" ht="14.5">
      <c r="C85" s="68" t="str">
        <f>IF($B85="","", VLOOKUP($B85,Form_Reference!$A$3:$H$278,8,FALSE))</f>
        <v/>
      </c>
      <c r="D85" s="236" t="str">
        <f t="shared" ca="1" si="0"/>
        <v/>
      </c>
      <c r="E85" s="68" t="str">
        <f>IF($B85="","", VLOOKUP($B85,Form_Reference!$A$3:$H$278,6,FALSE))</f>
        <v/>
      </c>
      <c r="F85" s="246" t="str">
        <f ca="1">IF($B85="","",COUNTIF(OFFSET(Form_Data!$O$1,2,0,COUNTA(Form_Data!$O:$O),1),$B85))</f>
        <v/>
      </c>
      <c r="G85" s="248" t="str">
        <f ca="1">IF($B85="","",COUNTIF(OFFSET(Form_Data!$O$1,2,0,COUNTA(Form_Data!$O:$O),1),$B85)/MAX(Form_Data!A:A))</f>
        <v/>
      </c>
      <c r="H85" s="550" t="s">
        <v>92</v>
      </c>
      <c r="I85" s="550"/>
      <c r="J85" s="550"/>
      <c r="K85" s="219">
        <f ca="1">IFERROR(COUNTIF(OFFSET(Form_Data!$R$1,2,0,COUNTA(Form_Data!$R:$R),1),"Vine")/MAX(Form_Data!A:A),"0")</f>
        <v>0</v>
      </c>
      <c r="L85" s="238">
        <f ca="1">COUNTIF(OFFSET(Form_Data!$R$1,2,0,COUNTA(Form_Data!$R:$R),1),"Vine")</f>
        <v>0</v>
      </c>
      <c r="M85" s="231"/>
      <c r="N85" s="231"/>
      <c r="O85" s="231"/>
      <c r="P85" s="231"/>
      <c r="Q85" s="231"/>
      <c r="R85" s="231"/>
      <c r="S85" s="231"/>
      <c r="T85" s="231"/>
    </row>
    <row r="86" spans="2:20" ht="14.5">
      <c r="C86" s="68" t="str">
        <f>IF($B86="","", VLOOKUP($B86,Form_Reference!$A$3:$H$278,8,FALSE))</f>
        <v/>
      </c>
      <c r="D86" s="236" t="str">
        <f t="shared" ca="1" si="0"/>
        <v/>
      </c>
      <c r="E86" s="68" t="str">
        <f>IF($B86="","", VLOOKUP($B86,Form_Reference!$A$3:$H$278,6,FALSE))</f>
        <v/>
      </c>
      <c r="F86" s="246" t="str">
        <f ca="1">IF($B86="","",COUNTIF(OFFSET(Form_Data!$O$1,2,0,COUNTA(Form_Data!$O:$O),1),$B86))</f>
        <v/>
      </c>
      <c r="G86" s="248" t="str">
        <f ca="1">IF($B86="","",COUNTIF(OFFSET(Form_Data!$O$1,2,0,COUNTA(Form_Data!$O:$O),1),$B86)/MAX(Form_Data!A:A))</f>
        <v/>
      </c>
      <c r="H86" s="550" t="s">
        <v>53</v>
      </c>
      <c r="I86" s="550"/>
      <c r="J86" s="550"/>
      <c r="K86" s="219">
        <f ca="1">IFERROR(COUNTIF(OFFSET(Form_Data!$X$1,2,0,COUNTA(Form_Data!$X:$X),1),"Annual")/MAX(Form_Data!A:A),"0")</f>
        <v>0</v>
      </c>
      <c r="L86" s="238">
        <f ca="1">COUNTIF(OFFSET(Form_Data!$X$1,2,0,COUNTA(Form_Data!$X:$X),1),"Annual")</f>
        <v>0</v>
      </c>
      <c r="M86" s="231"/>
      <c r="N86" s="231"/>
      <c r="O86" s="231"/>
      <c r="P86" s="231"/>
      <c r="Q86" s="231"/>
      <c r="R86" s="231"/>
      <c r="S86" s="231"/>
      <c r="T86" s="231"/>
    </row>
    <row r="87" spans="2:20" ht="14.5">
      <c r="C87" s="68" t="str">
        <f>IF($B87="","", VLOOKUP($B87,Form_Reference!$A$3:$H$278,8,FALSE))</f>
        <v/>
      </c>
      <c r="D87" s="236" t="str">
        <f t="shared" ca="1" si="0"/>
        <v/>
      </c>
      <c r="E87" s="68" t="str">
        <f>IF($B87="","", VLOOKUP($B87,Form_Reference!$A$3:$H$278,6,FALSE))</f>
        <v/>
      </c>
      <c r="F87" s="246" t="str">
        <f ca="1">IF($B87="","",COUNTIF(OFFSET(Form_Data!$O$1,2,0,COUNTA(Form_Data!$O:$O),1),$B87))</f>
        <v/>
      </c>
      <c r="G87" s="248" t="str">
        <f ca="1">IF($B87="","",COUNTIF(OFFSET(Form_Data!$O$1,2,0,COUNTA(Form_Data!$O:$O),1),$B87)/MAX(Form_Data!A:A))</f>
        <v/>
      </c>
      <c r="H87" s="550" t="s">
        <v>40</v>
      </c>
      <c r="I87" s="550"/>
      <c r="J87" s="550"/>
      <c r="K87" s="219">
        <f ca="1">IFERROR(COUNTIF(OFFSET(Form_Data!$X$1,2,0,COUNTA(Form_Data!$X:$X),1),"Perennial")/MAX(Form_Data!A:A),"0")</f>
        <v>0</v>
      </c>
      <c r="L87" s="238">
        <f ca="1">COUNTIF(OFFSET(Form_Data!$X$1,2,0,COUNTA(Form_Data!$X:$X),1),"Perennial")</f>
        <v>0</v>
      </c>
      <c r="M87" s="231"/>
      <c r="N87" s="231"/>
      <c r="O87" s="231"/>
      <c r="P87" s="231"/>
      <c r="Q87" s="231"/>
      <c r="R87" s="231"/>
      <c r="S87" s="231"/>
      <c r="T87" s="231"/>
    </row>
    <row r="88" spans="2:20" ht="14.5">
      <c r="C88" s="68" t="str">
        <f>IF($B88="","", VLOOKUP($B88,Form_Reference!$A$3:$H$278,8,FALSE))</f>
        <v/>
      </c>
      <c r="D88" s="236" t="str">
        <f t="shared" ca="1" si="0"/>
        <v/>
      </c>
      <c r="E88" s="68" t="str">
        <f>IF($B88="","", VLOOKUP($B88,Form_Reference!$A$3:$H$278,6,FALSE))</f>
        <v/>
      </c>
      <c r="F88" s="246" t="str">
        <f ca="1">IF($B88="","",COUNTIF(OFFSET(Form_Data!$O$1,2,0,COUNTA(Form_Data!$O:$O),1),$B88))</f>
        <v/>
      </c>
      <c r="G88" s="248" t="str">
        <f ca="1">IF($B88="","",COUNTIF(OFFSET(Form_Data!$O$1,2,0,COUNTA(Form_Data!$O:$O),1),$B88)/MAX(Form_Data!A:A))</f>
        <v/>
      </c>
      <c r="H88" s="550" t="s">
        <v>144</v>
      </c>
      <c r="I88" s="550"/>
      <c r="J88" s="550"/>
      <c r="K88" s="219">
        <f ca="1">IFERROR(COUNTIF(OFFSET(Form_Data!$X$1,2,0,COUNTA(Form_Data!$X:$X),1),"Biennial")/MAX(Form_Data!A:A),"0")</f>
        <v>0</v>
      </c>
      <c r="L88" s="238">
        <f ca="1">COUNTIF(OFFSET(Form_Data!$X$1,2,0,COUNTA(Form_Data!$X:$X),1),"Biennial")</f>
        <v>0</v>
      </c>
      <c r="M88" s="231"/>
      <c r="N88" s="231"/>
      <c r="O88" s="231"/>
      <c r="P88" s="231"/>
      <c r="Q88" s="231"/>
      <c r="R88" s="231"/>
      <c r="S88" s="231"/>
      <c r="T88" s="231"/>
    </row>
    <row r="89" spans="2:20" ht="14.5">
      <c r="C89" s="68" t="str">
        <f>IF($B89="","", VLOOKUP($B89,Form_Reference!$A$3:$H$278,8,FALSE))</f>
        <v/>
      </c>
      <c r="D89" s="236" t="str">
        <f t="shared" ca="1" si="0"/>
        <v/>
      </c>
      <c r="E89" s="68" t="str">
        <f>IF($B89="","", VLOOKUP($B89,Form_Reference!$A$3:$H$278,6,FALSE))</f>
        <v/>
      </c>
      <c r="F89" s="246" t="str">
        <f ca="1">IF($B89="","",COUNTIF(OFFSET(Form_Data!$O$1,2,0,COUNTA(Form_Data!$O:$O),1),$B89))</f>
        <v/>
      </c>
      <c r="G89" s="248" t="str">
        <f ca="1">IF($B89="","",COUNTIF(OFFSET(Form_Data!$O$1,2,0,COUNTA(Form_Data!$O:$O),1),$B89)/MAX(Form_Data!A:A))</f>
        <v/>
      </c>
      <c r="H89" s="550" t="s">
        <v>48</v>
      </c>
      <c r="I89" s="550"/>
      <c r="J89" s="550"/>
      <c r="K89" s="219">
        <f ca="1">IFERROR(COUNTIF(OFFSET(Form_Data!$Y$1,2,0,COUNTA(Form_Data!$Y:$Y),1),"Native")/MAX(Form_Data!A:A),"0")</f>
        <v>0</v>
      </c>
      <c r="L89" s="238">
        <f ca="1">COUNTIF(OFFSET(Form_Data!$Y$1,2,0,COUNTA(Form_Data!$Y:$Y),1),"Native")</f>
        <v>0</v>
      </c>
      <c r="M89" s="231"/>
      <c r="N89" s="231"/>
      <c r="O89" s="231"/>
      <c r="P89" s="231"/>
      <c r="Q89" s="231"/>
      <c r="R89" s="231"/>
      <c r="S89" s="231"/>
      <c r="T89" s="231"/>
    </row>
    <row r="90" spans="2:20" ht="14.5">
      <c r="C90" s="68" t="str">
        <f>IF($B90="","", VLOOKUP($B90,Form_Reference!$A$3:$H$278,8,FALSE))</f>
        <v/>
      </c>
      <c r="D90" s="236" t="str">
        <f t="shared" ca="1" si="0"/>
        <v/>
      </c>
      <c r="E90" s="68" t="str">
        <f>IF($B90="","", VLOOKUP($B90,Form_Reference!$A$3:$H$278,6,FALSE))</f>
        <v/>
      </c>
      <c r="F90" s="246" t="str">
        <f ca="1">IF($B90="","",COUNTIF(OFFSET(Form_Data!$O$1,2,0,COUNTA(Form_Data!$O:$O),1),$B90))</f>
        <v/>
      </c>
      <c r="G90" s="248" t="str">
        <f ca="1">IF($B90="","",COUNTIF(OFFSET(Form_Data!$O$1,2,0,COUNTA(Form_Data!$O:$O),1),$B90)/MAX(Form_Data!A:A))</f>
        <v/>
      </c>
      <c r="H90" s="550" t="s">
        <v>42</v>
      </c>
      <c r="I90" s="550"/>
      <c r="J90" s="550"/>
      <c r="K90" s="219">
        <f ca="1">IFERROR(COUNTIF(OFFSET(Form_Data!$Y$1,2,0,COUNTA(Form_Data!$Y:$Y),1),"Introduced")/MAX(Form_Data!A:A),"0")</f>
        <v>0</v>
      </c>
      <c r="L90" s="238">
        <f ca="1">COUNTIF(OFFSET(Form_Data!$Y$1,2,0,COUNTA(Form_Data!$Y:$Y),1),"Introduced")</f>
        <v>0</v>
      </c>
    </row>
    <row r="91" spans="2:20" ht="14.5">
      <c r="C91" s="68" t="str">
        <f>IF($B91="","", VLOOKUP($B91,Form_Reference!$A$3:$H$278,8,FALSE))</f>
        <v/>
      </c>
      <c r="D91" s="236" t="str">
        <f t="shared" ca="1" si="0"/>
        <v/>
      </c>
      <c r="E91" s="68" t="str">
        <f>IF($B91="","", VLOOKUP($B91,Form_Reference!$A$3:$H$278,6,FALSE))</f>
        <v/>
      </c>
      <c r="F91" s="246" t="str">
        <f ca="1">IF($B91="","",COUNTIF(OFFSET(Form_Data!$O$1,2,0,COUNTA(Form_Data!$O:$O),1),$B91))</f>
        <v/>
      </c>
      <c r="G91" s="248" t="str">
        <f ca="1">IF($B91="","",COUNTIF(OFFSET(Form_Data!$O$1,2,0,COUNTA(Form_Data!$O:$O),1),$B91)/MAX(Form_Data!A:A))</f>
        <v/>
      </c>
      <c r="H91" s="550" t="s">
        <v>1260</v>
      </c>
      <c r="I91" s="550"/>
      <c r="J91" s="550"/>
      <c r="K91" s="219"/>
      <c r="L91" s="238" cm="1">
        <f t="array" ref="L91">IF(MAX(Form_Data!A:A="0"),"",SUMPRODUCT((Form_Data!$W$3:$W$40 &lt;&gt;"")/COUNTIF(Form_Data!$W$3:$W$40,Form_Data!$W$3:$W$40 &amp;"")))</f>
        <v>0</v>
      </c>
    </row>
    <row r="92" spans="2:20" ht="14.5">
      <c r="C92" s="68" t="str">
        <f>IF($B92="","", VLOOKUP($B92,Form_Reference!$A$3:$H$278,8,FALSE))</f>
        <v/>
      </c>
      <c r="D92" s="236" t="str">
        <f t="shared" ca="1" si="0"/>
        <v/>
      </c>
      <c r="E92" s="68" t="str">
        <f>IF($B92="","", VLOOKUP($B92,Form_Reference!$A$3:$H$278,6,FALSE))</f>
        <v/>
      </c>
      <c r="F92" s="246" t="str">
        <f ca="1">IF($B92="","",COUNTIF(OFFSET(Form_Data!$O$1,2,0,COUNTA(Form_Data!$O:$O),1),$B92))</f>
        <v/>
      </c>
      <c r="G92" s="248" t="str">
        <f ca="1">IF($B92="","",COUNTIF(OFFSET(Form_Data!$O$1,2,0,COUNTA(Form_Data!$O:$O),1),$B92)/MAX(Form_Data!A:A))</f>
        <v/>
      </c>
      <c r="H92" s="550" t="s">
        <v>1265</v>
      </c>
      <c r="I92" s="550"/>
      <c r="J92" s="550"/>
      <c r="K92" s="219"/>
      <c r="L92" s="238" cm="1">
        <f t="array" ref="L92">IF(MAX(Form_Data!A:A="0"),"",SUMPRODUCT((Form_Data!$O$3:$O$40 &lt;&gt;"")/COUNTIF(Form_Data!$O$3:$O$40,Form_Data!$O$3:$O$40 &amp;"")))</f>
        <v>0</v>
      </c>
      <c r="N92" s="243"/>
    </row>
    <row r="93" spans="2:20" ht="14.5">
      <c r="C93" s="68" t="str">
        <f>IF($B93="","", VLOOKUP($B93,Form_Reference!$A$3:$H$278,8,FALSE))</f>
        <v/>
      </c>
      <c r="D93" s="236" t="str">
        <f t="shared" ca="1" si="0"/>
        <v/>
      </c>
      <c r="E93" s="68" t="str">
        <f>IF($B93="","", VLOOKUP($B93,Form_Reference!$A$3:$H$278,6,FALSE))</f>
        <v/>
      </c>
      <c r="F93" s="246" t="str">
        <f ca="1">IF($B93="","",COUNTIF(OFFSET(Form_Data!$O$1,2,0,COUNTA(Form_Data!$O:$O),1),$B93))</f>
        <v/>
      </c>
      <c r="G93" s="248" t="str">
        <f ca="1">IF($B93="","",COUNTIF(OFFSET(Form_Data!$O$1,2,0,COUNTA(Form_Data!$O:$O),1),$B93)/MAX(Form_Data!A:A))</f>
        <v/>
      </c>
      <c r="H93" s="557" t="s">
        <v>1266</v>
      </c>
      <c r="I93" s="557"/>
      <c r="J93" s="557"/>
      <c r="K93" s="219">
        <f ca="1">IFERROR(SUMIFS($F$80:$F$96,$D$80:$D$96,"Dominant",$C$80:$C$96,"Desirable*")/MAX(Form_Data!A:A),"0")</f>
        <v>0</v>
      </c>
      <c r="L93" s="238">
        <f ca="1">COUNTIFS($C$80:$C$96,"Desirable",$G$80:$G$96,"&gt;.15")</f>
        <v>0</v>
      </c>
      <c r="O93" s="559"/>
      <c r="P93" s="559"/>
      <c r="Q93" s="559"/>
    </row>
    <row r="94" spans="2:20" ht="14.5">
      <c r="C94" s="68" t="str">
        <f>IF($B94="","", VLOOKUP($B94,Form_Reference!$A$3:$H$278,8,FALSE))</f>
        <v/>
      </c>
      <c r="D94" s="236" t="str">
        <f t="shared" ca="1" si="0"/>
        <v/>
      </c>
      <c r="E94" s="68" t="str">
        <f>IF($B94="","", VLOOKUP($B94,Form_Reference!$A$3:$H$278,6,FALSE))</f>
        <v/>
      </c>
      <c r="F94" s="246" t="str">
        <f ca="1">IF($B94="","",COUNTIF(OFFSET(Form_Data!$O$1,2,0,COUNTA(Form_Data!$O:$O),1),$B94))</f>
        <v/>
      </c>
      <c r="G94" s="248" t="str">
        <f ca="1">IF($B94="","",COUNTIF(OFFSET(Form_Data!$O$1,2,0,COUNTA(Form_Data!$O:$O),1),$B94)/MAX(Form_Data!A:A))</f>
        <v/>
      </c>
      <c r="H94" s="550" t="s">
        <v>1268</v>
      </c>
      <c r="I94" s="550"/>
      <c r="J94" s="550"/>
      <c r="K94" s="219">
        <f ca="1">$R$84</f>
        <v>0</v>
      </c>
      <c r="L94" s="238">
        <f ca="1">$Q$84</f>
        <v>0</v>
      </c>
    </row>
    <row r="95" spans="2:20" ht="14.5">
      <c r="C95" s="68" t="str">
        <f>IF($B95="","", VLOOKUP($B95,Form_Reference!$A$3:$H$278,8,FALSE))</f>
        <v/>
      </c>
      <c r="D95" s="236" t="str">
        <f t="shared" ca="1" si="0"/>
        <v/>
      </c>
      <c r="E95" s="68" t="str">
        <f>IF($B95="","", VLOOKUP($B95,Form_Reference!$A$3:$H$278,6,FALSE))</f>
        <v/>
      </c>
      <c r="F95" s="246" t="str">
        <f ca="1">IF($B95="","",COUNTIF(OFFSET(Form_Data!$O$1,2,0,COUNTA(Form_Data!$O:$O),1),$B95))</f>
        <v/>
      </c>
      <c r="G95" s="248" t="str">
        <f ca="1">IF($B95="","",COUNTIF(OFFSET(Form_Data!$O$1,2,0,COUNTA(Form_Data!$O:$O),1),$B95)/MAX(Form_Data!A:A))</f>
        <v/>
      </c>
      <c r="H95" s="550" t="s">
        <v>1269</v>
      </c>
      <c r="I95" s="550"/>
      <c r="J95" s="550"/>
      <c r="K95" s="219">
        <f ca="1">IFERROR(SUMIFS($F$80:$F$96,$D$80:$D$96,"Minor",$C$80:$C$96,"Desirable*")/MAX(Form_Data!A:A),"0")</f>
        <v>0</v>
      </c>
      <c r="L95" s="238">
        <f ca="1">COUNTIFS($C$80:$C$96,"Desirable",$G$80:$G$96,"&lt;=.15")</f>
        <v>1</v>
      </c>
    </row>
    <row r="96" spans="2:20" ht="14.5">
      <c r="C96" s="68" t="str">
        <f>IF($B96="","", VLOOKUP($B96,Form_Reference!$A$3:$H$278,8,FALSE))</f>
        <v/>
      </c>
      <c r="D96" s="236" t="str">
        <f t="shared" ca="1" si="0"/>
        <v/>
      </c>
      <c r="E96" s="68" t="str">
        <f>IF($B96="","", VLOOKUP($B96,Form_Reference!$A$3:$H$278,6,FALSE))</f>
        <v/>
      </c>
      <c r="F96" s="246" t="str">
        <f ca="1">IF($B96="","",COUNTIF(OFFSET(Form_Data!$O$1,2,0,COUNTA(Form_Data!$O:$O),1),$B96))</f>
        <v/>
      </c>
      <c r="G96" s="248" t="str">
        <f ca="1">IF($B96="","",COUNTIF(OFFSET(Form_Data!$O$1,2,0,COUNTA(Form_Data!$O:$O),1),$B96)/MAX(Form_Data!A:A))</f>
        <v/>
      </c>
      <c r="H96" s="550" t="s">
        <v>1270</v>
      </c>
      <c r="I96" s="550"/>
      <c r="J96" s="550"/>
      <c r="K96" s="219">
        <f ca="1">$T$84</f>
        <v>0</v>
      </c>
      <c r="L96" s="238">
        <f ca="1">$S$84</f>
        <v>1</v>
      </c>
    </row>
    <row r="97" spans="10:13" ht="14.5">
      <c r="J97" s="207"/>
      <c r="K97" s="207"/>
      <c r="L97" s="207"/>
      <c r="M97" s="243"/>
    </row>
    <row r="98" spans="10:13" ht="14">
      <c r="J98" s="207"/>
      <c r="K98" s="207"/>
      <c r="L98" s="207"/>
    </row>
    <row r="99" spans="10:13" ht="14">
      <c r="J99" s="207"/>
      <c r="K99" s="207"/>
      <c r="L99" s="207"/>
    </row>
    <row r="100" spans="10:13" ht="14">
      <c r="J100" s="207"/>
      <c r="K100" s="207"/>
      <c r="L100" s="207"/>
    </row>
    <row r="101" spans="10:13" ht="14">
      <c r="J101" s="207"/>
      <c r="K101" s="207"/>
      <c r="L101" s="207"/>
    </row>
    <row r="102" spans="10:13" ht="14">
      <c r="J102" s="207"/>
      <c r="K102" s="207"/>
      <c r="L102" s="207"/>
    </row>
    <row r="103" spans="10:13" ht="14">
      <c r="J103" s="207"/>
      <c r="K103" s="207"/>
      <c r="L103" s="207"/>
    </row>
    <row r="104" spans="10:13" ht="14">
      <c r="J104" s="207"/>
      <c r="K104" s="207"/>
      <c r="L104" s="207"/>
    </row>
    <row r="105" spans="10:13" ht="14">
      <c r="J105" s="207"/>
      <c r="K105" s="207"/>
      <c r="L105" s="207"/>
    </row>
  </sheetData>
  <mergeCells count="102">
    <mergeCell ref="H95:J95"/>
    <mergeCell ref="P78:T78"/>
    <mergeCell ref="H96:J96"/>
    <mergeCell ref="H94:J94"/>
    <mergeCell ref="C78:G78"/>
    <mergeCell ref="J78:L78"/>
    <mergeCell ref="H93:J93"/>
    <mergeCell ref="H92:J92"/>
    <mergeCell ref="H91:J91"/>
    <mergeCell ref="H90:J90"/>
    <mergeCell ref="H88:J88"/>
    <mergeCell ref="H87:J87"/>
    <mergeCell ref="H89:J89"/>
    <mergeCell ref="H79:J79"/>
    <mergeCell ref="H80:J80"/>
    <mergeCell ref="H81:J81"/>
    <mergeCell ref="H82:J82"/>
    <mergeCell ref="H83:J83"/>
    <mergeCell ref="O93:Q93"/>
    <mergeCell ref="H84:J84"/>
    <mergeCell ref="H85:J85"/>
    <mergeCell ref="H86:J86"/>
    <mergeCell ref="B71:L71"/>
    <mergeCell ref="I56:K56"/>
    <mergeCell ref="I57:J57"/>
    <mergeCell ref="I58:J58"/>
    <mergeCell ref="I59:J59"/>
    <mergeCell ref="B1:L3"/>
    <mergeCell ref="B4:L5"/>
    <mergeCell ref="K7:L7"/>
    <mergeCell ref="C7:G7"/>
    <mergeCell ref="C8:G8"/>
    <mergeCell ref="I9:L9"/>
    <mergeCell ref="F9:G9"/>
    <mergeCell ref="C9:D9"/>
    <mergeCell ref="K8:L8"/>
    <mergeCell ref="H26:L26"/>
    <mergeCell ref="H22:L22"/>
    <mergeCell ref="H23:L23"/>
    <mergeCell ref="H24:L25"/>
    <mergeCell ref="H27:L27"/>
    <mergeCell ref="H11:I11"/>
    <mergeCell ref="J11:L11"/>
    <mergeCell ref="I10:L10"/>
    <mergeCell ref="D11:G11"/>
    <mergeCell ref="C10:D10"/>
    <mergeCell ref="F10:G10"/>
    <mergeCell ref="B18:D18"/>
    <mergeCell ref="B17:D17"/>
    <mergeCell ref="B16:D16"/>
    <mergeCell ref="B13:D13"/>
    <mergeCell ref="B15:D15"/>
    <mergeCell ref="F13:H18"/>
    <mergeCell ref="B20:L20"/>
    <mergeCell ref="B21:D21"/>
    <mergeCell ref="E21:G21"/>
    <mergeCell ref="H21:L21"/>
    <mergeCell ref="I13:K13"/>
    <mergeCell ref="I18:K18"/>
    <mergeCell ref="I17:K17"/>
    <mergeCell ref="I16:K16"/>
    <mergeCell ref="I15:K15"/>
    <mergeCell ref="I14:K14"/>
    <mergeCell ref="B14:D14"/>
    <mergeCell ref="B22:D22"/>
    <mergeCell ref="E24:G25"/>
    <mergeCell ref="B23:D25"/>
    <mergeCell ref="E22:G22"/>
    <mergeCell ref="E23:G23"/>
    <mergeCell ref="E26:G26"/>
    <mergeCell ref="B26:D27"/>
    <mergeCell ref="B34:D34"/>
    <mergeCell ref="B35:D35"/>
    <mergeCell ref="E27:G27"/>
    <mergeCell ref="E30:G31"/>
    <mergeCell ref="E34:G34"/>
    <mergeCell ref="E33:G33"/>
    <mergeCell ref="E32:G32"/>
    <mergeCell ref="H34:L34"/>
    <mergeCell ref="H35:L35"/>
    <mergeCell ref="B28:D29"/>
    <mergeCell ref="E28:G29"/>
    <mergeCell ref="H28:L29"/>
    <mergeCell ref="H32:L32"/>
    <mergeCell ref="B33:D33"/>
    <mergeCell ref="B73:L76"/>
    <mergeCell ref="H33:L33"/>
    <mergeCell ref="B30:D31"/>
    <mergeCell ref="E39:G39"/>
    <mergeCell ref="E38:G38"/>
    <mergeCell ref="E35:G35"/>
    <mergeCell ref="B32:D32"/>
    <mergeCell ref="H30:L31"/>
    <mergeCell ref="B39:D39"/>
    <mergeCell ref="H39:L39"/>
    <mergeCell ref="B38:D38"/>
    <mergeCell ref="H38:L38"/>
    <mergeCell ref="E36:G37"/>
    <mergeCell ref="B36:D37"/>
    <mergeCell ref="H36:L37"/>
    <mergeCell ref="E55:F55"/>
    <mergeCell ref="B56:C56"/>
  </mergeCells>
  <conditionalFormatting sqref="E15">
    <cfRule type="expression" dxfId="105" priority="65">
      <formula>$E$15&gt;3</formula>
    </cfRule>
    <cfRule type="expression" dxfId="104" priority="85">
      <formula>$E$15&lt;=3</formula>
    </cfRule>
  </conditionalFormatting>
  <conditionalFormatting sqref="E14">
    <cfRule type="expression" dxfId="103" priority="66">
      <formula>$E$14&gt;3</formula>
    </cfRule>
    <cfRule type="expression" dxfId="102" priority="84">
      <formula>$E$14&lt;=3</formula>
    </cfRule>
  </conditionalFormatting>
  <conditionalFormatting sqref="E16:E17">
    <cfRule type="expression" dxfId="101" priority="64">
      <formula>$E$16&gt;3</formula>
    </cfRule>
    <cfRule type="expression" dxfId="100" priority="83">
      <formula>$E$16&lt;=3</formula>
    </cfRule>
  </conditionalFormatting>
  <conditionalFormatting sqref="E18">
    <cfRule type="expression" dxfId="99" priority="62">
      <formula>$E$18&gt;3</formula>
    </cfRule>
    <cfRule type="expression" dxfId="98" priority="81">
      <formula>$E$18&lt;=3</formula>
    </cfRule>
  </conditionalFormatting>
  <conditionalFormatting sqref="L14">
    <cfRule type="expression" dxfId="97" priority="67">
      <formula>$L$14&gt;3</formula>
    </cfRule>
    <cfRule type="expression" dxfId="96" priority="80">
      <formula>$L$14&lt;=3</formula>
    </cfRule>
  </conditionalFormatting>
  <conditionalFormatting sqref="L15">
    <cfRule type="expression" dxfId="95" priority="68">
      <formula>$L$15&gt;3</formula>
    </cfRule>
    <cfRule type="expression" dxfId="94" priority="75">
      <formula>$L$15&lt;=3</formula>
    </cfRule>
  </conditionalFormatting>
  <conditionalFormatting sqref="L16">
    <cfRule type="expression" dxfId="93" priority="69">
      <formula>$L$16&gt;3</formula>
    </cfRule>
    <cfRule type="expression" dxfId="92" priority="74">
      <formula>$L$16&lt;=3</formula>
    </cfRule>
  </conditionalFormatting>
  <conditionalFormatting sqref="L17">
    <cfRule type="expression" dxfId="91" priority="70">
      <formula>$L$17&gt;3</formula>
    </cfRule>
    <cfRule type="expression" dxfId="90" priority="73">
      <formula>$L$17&lt;=3</formula>
    </cfRule>
  </conditionalFormatting>
  <conditionalFormatting sqref="L18">
    <cfRule type="expression" dxfId="89" priority="71">
      <formula>$L$18&gt;3</formula>
    </cfRule>
    <cfRule type="expression" dxfId="88" priority="72">
      <formula>$L$18&lt;=3</formula>
    </cfRule>
  </conditionalFormatting>
  <conditionalFormatting sqref="H22:L39">
    <cfRule type="containsText" dxfId="87" priority="60" operator="containsText" text="IS MET">
      <formula>NOT(ISERROR(SEARCH("IS MET",H22)))</formula>
    </cfRule>
    <cfRule type="containsText" dxfId="86" priority="61" operator="containsText" text="NOT MET">
      <formula>NOT(ISERROR(SEARCH("NOT MET",H22)))</formula>
    </cfRule>
  </conditionalFormatting>
  <conditionalFormatting sqref="C59 H93 K80:K96">
    <cfRule type="dataBar" priority="40">
      <dataBar>
        <cfvo type="num" val="0"/>
        <cfvo type="num" val="1"/>
        <color rgb="FF63C384"/>
      </dataBar>
      <extLst>
        <ext xmlns:x14="http://schemas.microsoft.com/office/spreadsheetml/2009/9/main" uri="{B025F937-C7B1-47D3-B67F-A62EFF666E3E}">
          <x14:id>{849598B8-D67C-4979-AAE1-B383DFB7B565}</x14:id>
        </ext>
      </extLst>
    </cfRule>
  </conditionalFormatting>
  <conditionalFormatting sqref="C46:E49">
    <cfRule type="dataBar" priority="31">
      <dataBar>
        <cfvo type="num" val="0"/>
        <cfvo type="num" val="1"/>
        <color rgb="FF63C384"/>
      </dataBar>
      <extLst>
        <ext xmlns:x14="http://schemas.microsoft.com/office/spreadsheetml/2009/9/main" uri="{B025F937-C7B1-47D3-B67F-A62EFF666E3E}">
          <x14:id>{ACB353F7-0054-4B91-9649-5528CE67B777}</x14:id>
        </ext>
      </extLst>
    </cfRule>
  </conditionalFormatting>
  <conditionalFormatting sqref="Q57:Q60">
    <cfRule type="dataBar" priority="27">
      <dataBar>
        <cfvo type="num" val="0"/>
        <cfvo type="num" val="1"/>
        <color rgb="FF63C384"/>
      </dataBar>
      <extLst>
        <ext xmlns:x14="http://schemas.microsoft.com/office/spreadsheetml/2009/9/main" uri="{B025F937-C7B1-47D3-B67F-A62EFF666E3E}">
          <x14:id>{3EDAB31E-244A-45B2-AE6B-CC15D5704D62}</x14:id>
        </ext>
      </extLst>
    </cfRule>
  </conditionalFormatting>
  <conditionalFormatting sqref="C57:C58">
    <cfRule type="dataBar" priority="26">
      <dataBar>
        <cfvo type="num" val="0"/>
        <cfvo type="num" val="1"/>
        <color rgb="FF63C384"/>
      </dataBar>
      <extLst>
        <ext xmlns:x14="http://schemas.microsoft.com/office/spreadsheetml/2009/9/main" uri="{B025F937-C7B1-47D3-B67F-A62EFF666E3E}">
          <x14:id>{2D1030F0-C313-46AF-AAF3-8389073F1B20}</x14:id>
        </ext>
      </extLst>
    </cfRule>
  </conditionalFormatting>
  <conditionalFormatting sqref="F56:F59">
    <cfRule type="dataBar" priority="24">
      <dataBar>
        <cfvo type="num" val="0"/>
        <cfvo type="num" val="1"/>
        <color rgb="FF63C384"/>
      </dataBar>
      <extLst>
        <ext xmlns:x14="http://schemas.microsoft.com/office/spreadsheetml/2009/9/main" uri="{B025F937-C7B1-47D3-B67F-A62EFF666E3E}">
          <x14:id>{3D0CC2D5-3B42-4284-A63D-A771875BF770}</x14:id>
        </ext>
      </extLst>
    </cfRule>
  </conditionalFormatting>
  <conditionalFormatting sqref="K57:K59">
    <cfRule type="dataBar" priority="23">
      <dataBar>
        <cfvo type="num" val="0"/>
        <cfvo type="num" val="1"/>
        <color rgb="FF63C384"/>
      </dataBar>
      <extLst>
        <ext xmlns:x14="http://schemas.microsoft.com/office/spreadsheetml/2009/9/main" uri="{B025F937-C7B1-47D3-B67F-A62EFF666E3E}">
          <x14:id>{1C08FFFE-9506-4D5E-B001-667E45900077}</x14:id>
        </ext>
      </extLst>
    </cfRule>
  </conditionalFormatting>
  <conditionalFormatting sqref="G80:G96">
    <cfRule type="dataBar" priority="22">
      <dataBar>
        <cfvo type="num" val="0"/>
        <cfvo type="num" val="1"/>
        <color rgb="FF63C384"/>
      </dataBar>
      <extLst>
        <ext xmlns:x14="http://schemas.microsoft.com/office/spreadsheetml/2009/9/main" uri="{B025F937-C7B1-47D3-B67F-A62EFF666E3E}">
          <x14:id>{FF29E910-884A-4581-B677-8F0EB0C88A13}</x14:id>
        </ext>
      </extLst>
    </cfRule>
  </conditionalFormatting>
  <conditionalFormatting sqref="C80:G80">
    <cfRule type="expression" dxfId="85" priority="21">
      <formula>NOT(ISBLANK($B$80))</formula>
    </cfRule>
  </conditionalFormatting>
  <conditionalFormatting sqref="C81:G81">
    <cfRule type="expression" dxfId="84" priority="20">
      <formula>NOT(ISBLANK($B$81))</formula>
    </cfRule>
  </conditionalFormatting>
  <conditionalFormatting sqref="C82:G82">
    <cfRule type="expression" dxfId="83" priority="19">
      <formula>NOT(ISBLANK($B$82))</formula>
    </cfRule>
  </conditionalFormatting>
  <conditionalFormatting sqref="C83:G83">
    <cfRule type="expression" dxfId="82" priority="18">
      <formula>NOT(ISBLANK($B$83))</formula>
    </cfRule>
  </conditionalFormatting>
  <conditionalFormatting sqref="C84:G84">
    <cfRule type="expression" dxfId="81" priority="17">
      <formula>NOT(ISBLANK($B$84))</formula>
    </cfRule>
  </conditionalFormatting>
  <conditionalFormatting sqref="C85:G85">
    <cfRule type="expression" dxfId="80" priority="16">
      <formula>NOT(ISBLANK($B$85))</formula>
    </cfRule>
  </conditionalFormatting>
  <conditionalFormatting sqref="C86:G86">
    <cfRule type="expression" dxfId="79" priority="15">
      <formula>NOT(ISBLANK($B$86))</formula>
    </cfRule>
  </conditionalFormatting>
  <conditionalFormatting sqref="C87:G87">
    <cfRule type="expression" dxfId="78" priority="14">
      <formula>NOT(ISBLANK($B$87))</formula>
    </cfRule>
  </conditionalFormatting>
  <conditionalFormatting sqref="C88:G88">
    <cfRule type="expression" dxfId="77" priority="13">
      <formula>NOT(ISBLANK($B$88))</formula>
    </cfRule>
  </conditionalFormatting>
  <conditionalFormatting sqref="C89:G89">
    <cfRule type="expression" dxfId="76" priority="12">
      <formula>NOT(ISBLANK($B$89))</formula>
    </cfRule>
  </conditionalFormatting>
  <conditionalFormatting sqref="C90:G90">
    <cfRule type="expression" dxfId="75" priority="10">
      <formula>NOT(ISBLANK($B$90))</formula>
    </cfRule>
  </conditionalFormatting>
  <conditionalFormatting sqref="C94:G96">
    <cfRule type="expression" dxfId="74" priority="6">
      <formula>NOT(ISBLANK($B$94))</formula>
    </cfRule>
  </conditionalFormatting>
  <conditionalFormatting sqref="C92:G92">
    <cfRule type="expression" dxfId="73" priority="8">
      <formula>NOT(ISBLANK($B$92))</formula>
    </cfRule>
  </conditionalFormatting>
  <conditionalFormatting sqref="C93:G93">
    <cfRule type="expression" dxfId="72" priority="7">
      <formula>NOT(ISBLANK($B$93))</formula>
    </cfRule>
  </conditionalFormatting>
  <conditionalFormatting sqref="C91:G91">
    <cfRule type="expression" dxfId="71" priority="9">
      <formula>NOT(ISBLANK($B$91))</formula>
    </cfRule>
  </conditionalFormatting>
  <conditionalFormatting sqref="K93">
    <cfRule type="dataBar" priority="5">
      <dataBar>
        <cfvo type="num" val="0"/>
        <cfvo type="num" val="1"/>
        <color rgb="FF63C384"/>
      </dataBar>
      <extLst>
        <ext xmlns:x14="http://schemas.microsoft.com/office/spreadsheetml/2009/9/main" uri="{B025F937-C7B1-47D3-B67F-A62EFF666E3E}">
          <x14:id>{76D7D244-06C4-4EE8-A06C-BB2AB1DFBE6D}</x14:id>
        </ext>
      </extLst>
    </cfRule>
  </conditionalFormatting>
  <conditionalFormatting sqref="K95">
    <cfRule type="dataBar" priority="1">
      <dataBar>
        <cfvo type="num" val="0"/>
        <cfvo type="num" val="1"/>
        <color rgb="FF63C384"/>
      </dataBar>
      <extLst>
        <ext xmlns:x14="http://schemas.microsoft.com/office/spreadsheetml/2009/9/main" uri="{B025F937-C7B1-47D3-B67F-A62EFF666E3E}">
          <x14:id>{E252BC0B-CA03-44D4-9FC3-F71E12239EDC}</x14:id>
        </ext>
      </extLst>
    </cfRule>
  </conditionalFormatting>
  <pageMargins left="1" right="1" top="1" bottom="1" header="0.5" footer="0.5"/>
  <pageSetup scale="47" orientation="portrait" r:id="rId2"/>
  <colBreaks count="1" manualBreakCount="1">
    <brk id="12" max="1048575" man="1"/>
  </colBreaks>
  <drawing r:id="rId3"/>
  <extLst>
    <ext xmlns:x14="http://schemas.microsoft.com/office/spreadsheetml/2009/9/main" uri="{78C0D931-6437-407d-A8EE-F0AAD7539E65}">
      <x14:conditionalFormattings>
        <x14:conditionalFormatting xmlns:xm="http://schemas.microsoft.com/office/excel/2006/main">
          <x14:cfRule type="dataBar" id="{849598B8-D67C-4979-AAE1-B383DFB7B565}">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C59 H93 K80:K96</xm:sqref>
        </x14:conditionalFormatting>
        <x14:conditionalFormatting xmlns:xm="http://schemas.microsoft.com/office/excel/2006/main">
          <x14:cfRule type="dataBar" id="{ACB353F7-0054-4B91-9649-5528CE67B777}">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C46:E49</xm:sqref>
        </x14:conditionalFormatting>
        <x14:conditionalFormatting xmlns:xm="http://schemas.microsoft.com/office/excel/2006/main">
          <x14:cfRule type="dataBar" id="{3EDAB31E-244A-45B2-AE6B-CC15D5704D62}">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Q57:Q60</xm:sqref>
        </x14:conditionalFormatting>
        <x14:conditionalFormatting xmlns:xm="http://schemas.microsoft.com/office/excel/2006/main">
          <x14:cfRule type="dataBar" id="{2D1030F0-C313-46AF-AAF3-8389073F1B20}">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C57:C58</xm:sqref>
        </x14:conditionalFormatting>
        <x14:conditionalFormatting xmlns:xm="http://schemas.microsoft.com/office/excel/2006/main">
          <x14:cfRule type="dataBar" id="{3D0CC2D5-3B42-4284-A63D-A771875BF770}">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F56:F59</xm:sqref>
        </x14:conditionalFormatting>
        <x14:conditionalFormatting xmlns:xm="http://schemas.microsoft.com/office/excel/2006/main">
          <x14:cfRule type="dataBar" id="{1C08FFFE-9506-4D5E-B001-667E45900077}">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K57:K59</xm:sqref>
        </x14:conditionalFormatting>
        <x14:conditionalFormatting xmlns:xm="http://schemas.microsoft.com/office/excel/2006/main">
          <x14:cfRule type="dataBar" id="{FF29E910-884A-4581-B677-8F0EB0C88A13}">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G80:G96</xm:sqref>
        </x14:conditionalFormatting>
        <x14:conditionalFormatting xmlns:xm="http://schemas.microsoft.com/office/excel/2006/main">
          <x14:cfRule type="dataBar" id="{76D7D244-06C4-4EE8-A06C-BB2AB1DFBE6D}">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K93</xm:sqref>
        </x14:conditionalFormatting>
        <x14:conditionalFormatting xmlns:xm="http://schemas.microsoft.com/office/excel/2006/main">
          <x14:cfRule type="dataBar" id="{E252BC0B-CA03-44D4-9FC3-F71E12239EDC}">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K95</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8878B-4235-47A6-ADFE-3BE016515B7E}">
  <sheetPr codeName="Sheet5">
    <tabColor rgb="FFFF0000"/>
  </sheetPr>
  <dimension ref="A1:U402"/>
  <sheetViews>
    <sheetView zoomScaleNormal="100" workbookViewId="0">
      <pane ySplit="1" topLeftCell="A2" activePane="bottomLeft" state="frozen"/>
      <selection pane="bottomLeft" activeCell="O28" sqref="O28"/>
    </sheetView>
  </sheetViews>
  <sheetFormatPr defaultColWidth="9.296875" defaultRowHeight="14.5"/>
  <cols>
    <col min="1" max="1" width="26.19921875" style="37" customWidth="1"/>
    <col min="2" max="2" width="9.19921875" style="35" customWidth="1"/>
    <col min="3" max="3" width="25.796875" style="37" customWidth="1"/>
    <col min="4" max="4" width="18" style="18" customWidth="1"/>
    <col min="5" max="6" width="11" style="18" customWidth="1"/>
    <col min="7" max="7" width="13.296875" style="18" customWidth="1"/>
    <col min="8" max="8" width="14.69921875" style="18" customWidth="1"/>
    <col min="9" max="9" width="14.796875" style="18" customWidth="1"/>
    <col min="10" max="12" width="14.5" style="18" customWidth="1"/>
    <col min="13" max="13" width="20.5" style="38" customWidth="1"/>
    <col min="14" max="14" width="17" style="74" customWidth="1"/>
    <col min="15" max="15" width="27.296875" style="18" customWidth="1"/>
    <col min="16" max="16" width="19.19921875" style="18" customWidth="1"/>
    <col min="17" max="17" width="16.19921875" style="18" customWidth="1"/>
    <col min="18" max="18" width="18.19921875" style="18" customWidth="1"/>
    <col min="19" max="19" width="16.296875" style="18" customWidth="1"/>
    <col min="20" max="20" width="10.69921875" style="18" customWidth="1"/>
    <col min="21" max="16384" width="9.296875" style="18"/>
  </cols>
  <sheetData>
    <row r="1" spans="1:21" s="7" customFormat="1" ht="29.5" thickBot="1">
      <c r="A1" s="1" t="s">
        <v>22</v>
      </c>
      <c r="B1" s="2" t="s">
        <v>20</v>
      </c>
      <c r="C1" s="1" t="s">
        <v>21</v>
      </c>
      <c r="D1" s="1" t="s">
        <v>23</v>
      </c>
      <c r="E1" s="1" t="s">
        <v>24</v>
      </c>
      <c r="F1" s="1" t="s">
        <v>25</v>
      </c>
      <c r="G1" s="1" t="s">
        <v>26</v>
      </c>
      <c r="H1" s="3" t="s">
        <v>27</v>
      </c>
      <c r="I1" s="4" t="s">
        <v>28</v>
      </c>
      <c r="J1" s="5" t="s">
        <v>29</v>
      </c>
      <c r="K1" s="6" t="s">
        <v>30</v>
      </c>
      <c r="L1" s="1" t="s">
        <v>667</v>
      </c>
      <c r="M1" s="1" t="s">
        <v>31</v>
      </c>
      <c r="N1" s="44" t="s">
        <v>665</v>
      </c>
      <c r="O1" s="45" t="s">
        <v>666</v>
      </c>
      <c r="P1" s="45" t="s">
        <v>685</v>
      </c>
      <c r="Q1" s="45" t="s">
        <v>667</v>
      </c>
      <c r="R1" s="45" t="s">
        <v>708</v>
      </c>
      <c r="S1" s="45" t="s">
        <v>671</v>
      </c>
      <c r="T1" s="45" t="s">
        <v>1248</v>
      </c>
      <c r="U1" s="39"/>
    </row>
    <row r="2" spans="1:21" s="43" customFormat="1">
      <c r="A2" s="1"/>
      <c r="B2" s="42"/>
      <c r="C2" s="1"/>
      <c r="D2" s="1"/>
      <c r="E2" s="1"/>
      <c r="F2" s="1"/>
      <c r="G2" s="1"/>
      <c r="H2" s="3"/>
      <c r="I2" s="4"/>
      <c r="J2" s="5"/>
      <c r="K2" s="6"/>
      <c r="L2" s="1"/>
      <c r="M2" s="1"/>
      <c r="N2" s="45"/>
      <c r="O2" s="39"/>
      <c r="P2" s="39"/>
      <c r="Q2" s="39"/>
      <c r="R2" s="39"/>
      <c r="S2" s="39"/>
      <c r="T2" s="39"/>
      <c r="U2" s="39"/>
    </row>
    <row r="3" spans="1:21" ht="17.5" customHeight="1">
      <c r="A3" s="11" t="s">
        <v>713</v>
      </c>
      <c r="B3" s="9" t="s">
        <v>32</v>
      </c>
      <c r="C3" s="10" t="s">
        <v>33</v>
      </c>
      <c r="D3" s="12" t="s">
        <v>34</v>
      </c>
      <c r="E3" s="12" t="s">
        <v>35</v>
      </c>
      <c r="F3" s="12" t="s">
        <v>12</v>
      </c>
      <c r="G3" s="12" t="s">
        <v>36</v>
      </c>
      <c r="H3" s="13" t="s">
        <v>10</v>
      </c>
      <c r="I3" s="14" t="s">
        <v>10</v>
      </c>
      <c r="J3" s="15" t="s">
        <v>11</v>
      </c>
      <c r="K3" s="16" t="s">
        <v>9</v>
      </c>
      <c r="L3" s="12" t="s">
        <v>1</v>
      </c>
      <c r="M3" s="17"/>
      <c r="N3" s="74" t="s">
        <v>664</v>
      </c>
      <c r="O3" s="40" t="str" cm="1">
        <f t="array" ref="O3:O20">_xlfn._xlws.SORT(_xlfn.UNIQUE(_xlfn._xlws.FILTER(A3:A278,--ISNUMBER(SEARCH("x",N3:N278)))))</f>
        <v>Agrimony</v>
      </c>
      <c r="P3" s="18" t="s">
        <v>5</v>
      </c>
      <c r="Q3" s="18" t="s">
        <v>687</v>
      </c>
      <c r="R3" s="18" t="s">
        <v>1111</v>
      </c>
      <c r="S3" s="18" t="s">
        <v>696</v>
      </c>
      <c r="T3" s="18">
        <v>1</v>
      </c>
    </row>
    <row r="4" spans="1:21">
      <c r="A4" s="11" t="s">
        <v>714</v>
      </c>
      <c r="B4" s="19" t="s">
        <v>37</v>
      </c>
      <c r="C4" s="20" t="s">
        <v>38</v>
      </c>
      <c r="D4" s="12" t="s">
        <v>39</v>
      </c>
      <c r="E4" s="12" t="s">
        <v>40</v>
      </c>
      <c r="F4" s="12" t="s">
        <v>41</v>
      </c>
      <c r="G4" s="12" t="s">
        <v>42</v>
      </c>
      <c r="H4" s="21" t="s">
        <v>9</v>
      </c>
      <c r="I4" s="14" t="s">
        <v>9</v>
      </c>
      <c r="J4" s="15" t="s">
        <v>9</v>
      </c>
      <c r="K4" s="22" t="s">
        <v>9</v>
      </c>
      <c r="L4" s="12" t="s">
        <v>1</v>
      </c>
      <c r="M4" s="17"/>
      <c r="N4" s="74" t="s">
        <v>664</v>
      </c>
      <c r="O4" s="18" t="str">
        <v>Alfalfa</v>
      </c>
      <c r="P4" s="18" t="s">
        <v>6</v>
      </c>
      <c r="Q4" s="18" t="s">
        <v>686</v>
      </c>
      <c r="R4" s="18" t="s">
        <v>1112</v>
      </c>
      <c r="S4" s="18" t="s">
        <v>709</v>
      </c>
      <c r="T4" s="18">
        <v>2</v>
      </c>
    </row>
    <row r="5" spans="1:21">
      <c r="A5" s="24" t="s">
        <v>43</v>
      </c>
      <c r="B5" s="23" t="s">
        <v>37</v>
      </c>
      <c r="C5" s="10" t="s">
        <v>38</v>
      </c>
      <c r="D5" s="25" t="s">
        <v>39</v>
      </c>
      <c r="E5" s="25" t="s">
        <v>40</v>
      </c>
      <c r="F5" s="25" t="s">
        <v>41</v>
      </c>
      <c r="G5" s="25" t="s">
        <v>42</v>
      </c>
      <c r="H5" s="13" t="s">
        <v>9</v>
      </c>
      <c r="I5" s="14" t="s">
        <v>9</v>
      </c>
      <c r="J5" s="15" t="s">
        <v>9</v>
      </c>
      <c r="K5" s="22" t="s">
        <v>9</v>
      </c>
      <c r="L5" s="12" t="s">
        <v>1</v>
      </c>
      <c r="M5" s="17"/>
      <c r="N5" s="74" t="s">
        <v>664</v>
      </c>
      <c r="O5" s="18" t="str">
        <v>Alfalfa, Branched Root</v>
      </c>
      <c r="P5" s="18" t="s">
        <v>7</v>
      </c>
      <c r="Q5" s="18" t="s">
        <v>4</v>
      </c>
      <c r="R5" s="18" t="s">
        <v>1113</v>
      </c>
      <c r="T5" s="18">
        <v>3</v>
      </c>
    </row>
    <row r="6" spans="1:21">
      <c r="A6" s="11" t="s">
        <v>715</v>
      </c>
      <c r="B6" s="19" t="s">
        <v>44</v>
      </c>
      <c r="C6" s="20" t="s">
        <v>45</v>
      </c>
      <c r="D6" s="12" t="s">
        <v>39</v>
      </c>
      <c r="E6" s="12" t="s">
        <v>40</v>
      </c>
      <c r="F6" s="12" t="s">
        <v>41</v>
      </c>
      <c r="G6" s="12" t="s">
        <v>42</v>
      </c>
      <c r="H6" s="21" t="s">
        <v>9</v>
      </c>
      <c r="I6" s="14" t="s">
        <v>9</v>
      </c>
      <c r="J6" s="15" t="s">
        <v>9</v>
      </c>
      <c r="K6" s="22" t="s">
        <v>9</v>
      </c>
      <c r="L6" s="12" t="s">
        <v>1</v>
      </c>
      <c r="M6" s="17"/>
      <c r="N6" s="74" t="s">
        <v>664</v>
      </c>
      <c r="O6" s="18" t="str">
        <v>Alfalfa, Yellow-Flowered</v>
      </c>
      <c r="P6" s="18" t="s">
        <v>8</v>
      </c>
      <c r="R6" s="18" t="s">
        <v>1114</v>
      </c>
      <c r="T6" s="18">
        <v>4</v>
      </c>
    </row>
    <row r="7" spans="1:21">
      <c r="A7" s="11" t="s">
        <v>716</v>
      </c>
      <c r="B7" s="19" t="s">
        <v>46</v>
      </c>
      <c r="C7" s="20" t="s">
        <v>47</v>
      </c>
      <c r="D7" s="12" t="s">
        <v>39</v>
      </c>
      <c r="E7" s="12" t="s">
        <v>40</v>
      </c>
      <c r="F7" s="12" t="s">
        <v>41</v>
      </c>
      <c r="G7" s="12" t="s">
        <v>48</v>
      </c>
      <c r="H7" s="21" t="s">
        <v>9</v>
      </c>
      <c r="I7" s="14" t="s">
        <v>10</v>
      </c>
      <c r="J7" s="15" t="s">
        <v>11</v>
      </c>
      <c r="K7" s="22" t="s">
        <v>10</v>
      </c>
      <c r="L7" s="12" t="s">
        <v>1</v>
      </c>
      <c r="M7" s="17" t="s">
        <v>49</v>
      </c>
      <c r="N7" s="74" t="s">
        <v>664</v>
      </c>
      <c r="O7" s="18" t="str">
        <v>Alpine Sweetvetch</v>
      </c>
      <c r="R7" s="18" t="s">
        <v>1115</v>
      </c>
      <c r="T7" s="18">
        <v>5</v>
      </c>
    </row>
    <row r="8" spans="1:21">
      <c r="A8" s="24" t="s">
        <v>717</v>
      </c>
      <c r="B8" s="23" t="s">
        <v>50</v>
      </c>
      <c r="C8" s="26" t="s">
        <v>51</v>
      </c>
      <c r="D8" s="25" t="s">
        <v>52</v>
      </c>
      <c r="E8" s="25" t="s">
        <v>53</v>
      </c>
      <c r="F8" s="25" t="s">
        <v>12</v>
      </c>
      <c r="G8" s="25" t="s">
        <v>42</v>
      </c>
      <c r="H8" s="21" t="s">
        <v>11</v>
      </c>
      <c r="I8" s="14" t="s">
        <v>10</v>
      </c>
      <c r="J8" s="15" t="s">
        <v>11</v>
      </c>
      <c r="K8" s="22" t="s">
        <v>10</v>
      </c>
      <c r="L8" s="12" t="s">
        <v>1</v>
      </c>
      <c r="M8" s="17"/>
      <c r="N8" s="74" t="s">
        <v>664</v>
      </c>
      <c r="O8" s="18" t="str">
        <v>Amaranth, Spiny</v>
      </c>
      <c r="T8" s="18" t="s">
        <v>668</v>
      </c>
    </row>
    <row r="9" spans="1:21">
      <c r="A9" s="11" t="s">
        <v>718</v>
      </c>
      <c r="B9" s="19" t="s">
        <v>54</v>
      </c>
      <c r="C9" s="20" t="s">
        <v>55</v>
      </c>
      <c r="D9" s="12" t="s">
        <v>39</v>
      </c>
      <c r="E9" s="12" t="s">
        <v>40</v>
      </c>
      <c r="F9" s="12" t="s">
        <v>41</v>
      </c>
      <c r="G9" s="12" t="s">
        <v>48</v>
      </c>
      <c r="H9" s="21" t="s">
        <v>9</v>
      </c>
      <c r="I9" s="14" t="s">
        <v>9</v>
      </c>
      <c r="J9" s="15" t="s">
        <v>10</v>
      </c>
      <c r="K9" s="22" t="s">
        <v>9</v>
      </c>
      <c r="L9" s="12" t="s">
        <v>1</v>
      </c>
      <c r="M9" s="17"/>
      <c r="O9" s="18" t="str">
        <v>Autumn Olive</v>
      </c>
    </row>
    <row r="10" spans="1:21">
      <c r="A10" s="11" t="s">
        <v>719</v>
      </c>
      <c r="B10" s="19" t="s">
        <v>56</v>
      </c>
      <c r="C10" s="10" t="s">
        <v>57</v>
      </c>
      <c r="D10" s="12" t="s">
        <v>58</v>
      </c>
      <c r="E10" s="12" t="s">
        <v>40</v>
      </c>
      <c r="F10" s="12" t="s">
        <v>59</v>
      </c>
      <c r="G10" s="12" t="s">
        <v>48</v>
      </c>
      <c r="H10" s="13" t="s">
        <v>10</v>
      </c>
      <c r="I10" s="14" t="s">
        <v>9</v>
      </c>
      <c r="J10" s="15" t="s">
        <v>10</v>
      </c>
      <c r="K10" s="16" t="s">
        <v>9</v>
      </c>
      <c r="L10" s="12" t="s">
        <v>1</v>
      </c>
      <c r="M10" s="17"/>
      <c r="O10" s="18" t="str">
        <v>Bentgrass, Colonial</v>
      </c>
    </row>
    <row r="11" spans="1:21">
      <c r="A11" s="11" t="s">
        <v>720</v>
      </c>
      <c r="B11" s="19" t="s">
        <v>60</v>
      </c>
      <c r="C11" s="10" t="s">
        <v>61</v>
      </c>
      <c r="D11" s="12" t="s">
        <v>62</v>
      </c>
      <c r="E11" s="12" t="s">
        <v>40</v>
      </c>
      <c r="F11" s="12" t="s">
        <v>59</v>
      </c>
      <c r="G11" s="12" t="s">
        <v>42</v>
      </c>
      <c r="H11" s="13" t="s">
        <v>10</v>
      </c>
      <c r="I11" s="14" t="s">
        <v>10</v>
      </c>
      <c r="J11" s="15" t="s">
        <v>11</v>
      </c>
      <c r="K11" s="16" t="s">
        <v>9</v>
      </c>
      <c r="L11" s="12" t="s">
        <v>1</v>
      </c>
      <c r="M11" s="17"/>
      <c r="N11" s="74" t="s">
        <v>664</v>
      </c>
      <c r="O11" s="18" t="str">
        <v>Bentgrass, Creeping</v>
      </c>
    </row>
    <row r="12" spans="1:21">
      <c r="A12" s="11" t="s">
        <v>721</v>
      </c>
      <c r="B12" s="19" t="s">
        <v>63</v>
      </c>
      <c r="C12" s="10" t="s">
        <v>64</v>
      </c>
      <c r="D12" s="12" t="s">
        <v>65</v>
      </c>
      <c r="E12" s="12" t="s">
        <v>40</v>
      </c>
      <c r="F12" s="12" t="s">
        <v>66</v>
      </c>
      <c r="G12" s="12" t="s">
        <v>48</v>
      </c>
      <c r="H12" s="21" t="s">
        <v>9</v>
      </c>
      <c r="I12" s="14" t="s">
        <v>9</v>
      </c>
      <c r="J12" s="15" t="s">
        <v>10</v>
      </c>
      <c r="K12" s="22" t="s">
        <v>9</v>
      </c>
      <c r="L12" s="12" t="s">
        <v>1</v>
      </c>
      <c r="M12" s="17"/>
      <c r="O12" s="18" t="str">
        <v>Bindweed</v>
      </c>
    </row>
    <row r="13" spans="1:21">
      <c r="A13" s="11" t="s">
        <v>722</v>
      </c>
      <c r="B13" s="19" t="s">
        <v>67</v>
      </c>
      <c r="C13" s="10" t="s">
        <v>68</v>
      </c>
      <c r="D13" s="12" t="s">
        <v>69</v>
      </c>
      <c r="E13" s="12" t="s">
        <v>40</v>
      </c>
      <c r="F13" s="12" t="s">
        <v>59</v>
      </c>
      <c r="G13" s="12" t="s">
        <v>48</v>
      </c>
      <c r="H13" s="13" t="s">
        <v>11</v>
      </c>
      <c r="I13" s="14" t="s">
        <v>10</v>
      </c>
      <c r="J13" s="15" t="s">
        <v>11</v>
      </c>
      <c r="K13" s="16" t="s">
        <v>9</v>
      </c>
      <c r="L13" s="12" t="s">
        <v>1</v>
      </c>
      <c r="M13" s="17"/>
      <c r="O13" s="18" t="str">
        <v>Bluegrass, Annual</v>
      </c>
    </row>
    <row r="14" spans="1:21">
      <c r="A14" s="11" t="s">
        <v>723</v>
      </c>
      <c r="B14" s="19" t="s">
        <v>70</v>
      </c>
      <c r="C14" s="10" t="s">
        <v>71</v>
      </c>
      <c r="D14" s="12" t="s">
        <v>65</v>
      </c>
      <c r="E14" s="12" t="s">
        <v>53</v>
      </c>
      <c r="F14" s="12" t="s">
        <v>66</v>
      </c>
      <c r="G14" s="12" t="s">
        <v>42</v>
      </c>
      <c r="H14" s="21" t="s">
        <v>10</v>
      </c>
      <c r="I14" s="14" t="s">
        <v>10</v>
      </c>
      <c r="J14" s="15" t="s">
        <v>10</v>
      </c>
      <c r="K14" s="22" t="s">
        <v>10</v>
      </c>
      <c r="L14" s="12" t="s">
        <v>1</v>
      </c>
      <c r="M14" s="17"/>
      <c r="O14" s="18" t="str">
        <v>Bluegrass, Canada</v>
      </c>
    </row>
    <row r="15" spans="1:21">
      <c r="A15" s="28" t="s">
        <v>74</v>
      </c>
      <c r="B15" s="23" t="s">
        <v>72</v>
      </c>
      <c r="C15" s="27" t="s">
        <v>73</v>
      </c>
      <c r="D15" s="25" t="s">
        <v>39</v>
      </c>
      <c r="E15" s="25" t="s">
        <v>53</v>
      </c>
      <c r="F15" s="25" t="s">
        <v>41</v>
      </c>
      <c r="G15" s="25" t="s">
        <v>42</v>
      </c>
      <c r="H15" s="13" t="s">
        <v>9</v>
      </c>
      <c r="I15" s="14" t="s">
        <v>9</v>
      </c>
      <c r="J15" s="15" t="s">
        <v>10</v>
      </c>
      <c r="K15" s="22" t="s">
        <v>9</v>
      </c>
      <c r="L15" s="12" t="s">
        <v>1</v>
      </c>
      <c r="M15" s="17"/>
      <c r="O15" s="18" t="str">
        <v>Bluegrass, Kentucky</v>
      </c>
    </row>
    <row r="16" spans="1:21">
      <c r="A16" s="28" t="s">
        <v>77</v>
      </c>
      <c r="B16" s="23" t="s">
        <v>75</v>
      </c>
      <c r="C16" s="27" t="s">
        <v>76</v>
      </c>
      <c r="D16" s="25" t="s">
        <v>39</v>
      </c>
      <c r="E16" s="25" t="s">
        <v>53</v>
      </c>
      <c r="F16" s="25" t="s">
        <v>41</v>
      </c>
      <c r="G16" s="25" t="s">
        <v>42</v>
      </c>
      <c r="H16" s="13" t="s">
        <v>9</v>
      </c>
      <c r="I16" s="14" t="s">
        <v>9</v>
      </c>
      <c r="J16" s="15" t="s">
        <v>10</v>
      </c>
      <c r="K16" s="22" t="s">
        <v>9</v>
      </c>
      <c r="L16" s="12" t="s">
        <v>1</v>
      </c>
      <c r="M16" s="17"/>
      <c r="O16" s="18" t="str">
        <v>Clover, White</v>
      </c>
    </row>
    <row r="17" spans="1:15">
      <c r="A17" s="28" t="s">
        <v>80</v>
      </c>
      <c r="B17" s="23" t="s">
        <v>78</v>
      </c>
      <c r="C17" s="27" t="s">
        <v>79</v>
      </c>
      <c r="D17" s="25" t="s">
        <v>81</v>
      </c>
      <c r="E17" s="25" t="s">
        <v>53</v>
      </c>
      <c r="F17" s="25" t="s">
        <v>12</v>
      </c>
      <c r="G17" s="25" t="s">
        <v>42</v>
      </c>
      <c r="H17" s="13" t="s">
        <v>9</v>
      </c>
      <c r="I17" s="14" t="s">
        <v>9</v>
      </c>
      <c r="J17" s="15" t="s">
        <v>9</v>
      </c>
      <c r="K17" s="22" t="s">
        <v>9</v>
      </c>
      <c r="L17" s="12" t="s">
        <v>1</v>
      </c>
      <c r="M17" s="17"/>
      <c r="O17" s="18" t="str">
        <v>Crabgrass, Large</v>
      </c>
    </row>
    <row r="18" spans="1:15">
      <c r="A18" s="11" t="s">
        <v>724</v>
      </c>
      <c r="B18" s="19" t="s">
        <v>82</v>
      </c>
      <c r="C18" s="10" t="s">
        <v>83</v>
      </c>
      <c r="D18" s="12" t="s">
        <v>65</v>
      </c>
      <c r="E18" s="12" t="s">
        <v>40</v>
      </c>
      <c r="F18" s="12" t="s">
        <v>84</v>
      </c>
      <c r="G18" s="12" t="s">
        <v>42</v>
      </c>
      <c r="H18" s="21" t="s">
        <v>10</v>
      </c>
      <c r="I18" s="14" t="s">
        <v>10</v>
      </c>
      <c r="J18" s="15" t="s">
        <v>10</v>
      </c>
      <c r="K18" s="22" t="s">
        <v>10</v>
      </c>
      <c r="L18" s="12" t="s">
        <v>1</v>
      </c>
      <c r="M18" s="17"/>
      <c r="N18" s="74" t="s">
        <v>664</v>
      </c>
      <c r="O18" s="18" t="str">
        <v>None</v>
      </c>
    </row>
    <row r="19" spans="1:15">
      <c r="A19" s="11" t="s">
        <v>725</v>
      </c>
      <c r="B19" s="19" t="s">
        <v>85</v>
      </c>
      <c r="C19" s="10" t="s">
        <v>86</v>
      </c>
      <c r="D19" s="12" t="s">
        <v>65</v>
      </c>
      <c r="E19" s="12" t="s">
        <v>40</v>
      </c>
      <c r="F19" s="12" t="s">
        <v>84</v>
      </c>
      <c r="G19" s="12" t="s">
        <v>42</v>
      </c>
      <c r="H19" s="21" t="s">
        <v>9</v>
      </c>
      <c r="I19" s="14" t="s">
        <v>9</v>
      </c>
      <c r="J19" s="15" t="s">
        <v>9</v>
      </c>
      <c r="K19" s="22" t="s">
        <v>10</v>
      </c>
      <c r="L19" s="12" t="s">
        <v>1</v>
      </c>
      <c r="M19" s="17"/>
      <c r="N19" s="74" t="s">
        <v>664</v>
      </c>
      <c r="O19" s="18" t="str">
        <v>Orchardgrass, Early Hay Varities</v>
      </c>
    </row>
    <row r="20" spans="1:15">
      <c r="A20" s="11" t="s">
        <v>726</v>
      </c>
      <c r="B20" s="19" t="s">
        <v>87</v>
      </c>
      <c r="C20" s="10" t="s">
        <v>88</v>
      </c>
      <c r="D20" s="12" t="s">
        <v>65</v>
      </c>
      <c r="E20" s="12" t="s">
        <v>40</v>
      </c>
      <c r="F20" s="12" t="s">
        <v>66</v>
      </c>
      <c r="G20" s="12" t="s">
        <v>42</v>
      </c>
      <c r="H20" s="21" t="s">
        <v>10</v>
      </c>
      <c r="I20" s="29" t="s">
        <v>10</v>
      </c>
      <c r="J20" s="15" t="s">
        <v>10</v>
      </c>
      <c r="K20" s="16" t="s">
        <v>10</v>
      </c>
      <c r="L20" s="12" t="s">
        <v>1</v>
      </c>
      <c r="M20" s="17"/>
      <c r="O20" s="18" t="str">
        <v>Timothy</v>
      </c>
    </row>
    <row r="21" spans="1:15">
      <c r="A21" s="11" t="s">
        <v>727</v>
      </c>
      <c r="B21" s="19" t="s">
        <v>87</v>
      </c>
      <c r="C21" s="10" t="s">
        <v>88</v>
      </c>
      <c r="D21" s="12" t="s">
        <v>65</v>
      </c>
      <c r="E21" s="12" t="s">
        <v>40</v>
      </c>
      <c r="F21" s="12" t="s">
        <v>66</v>
      </c>
      <c r="G21" s="12" t="s">
        <v>42</v>
      </c>
      <c r="H21" s="21" t="s">
        <v>9</v>
      </c>
      <c r="I21" s="29" t="s">
        <v>10</v>
      </c>
      <c r="J21" s="15" t="s">
        <v>10</v>
      </c>
      <c r="K21" s="16" t="s">
        <v>10</v>
      </c>
      <c r="L21" s="12" t="s">
        <v>1</v>
      </c>
      <c r="M21" s="17"/>
    </row>
    <row r="22" spans="1:15">
      <c r="A22" s="11" t="s">
        <v>728</v>
      </c>
      <c r="B22" s="19" t="s">
        <v>89</v>
      </c>
      <c r="C22" s="10" t="s">
        <v>90</v>
      </c>
      <c r="D22" s="12" t="s">
        <v>91</v>
      </c>
      <c r="E22" s="12" t="s">
        <v>35</v>
      </c>
      <c r="F22" s="12" t="s">
        <v>92</v>
      </c>
      <c r="G22" s="25" t="s">
        <v>36</v>
      </c>
      <c r="H22" s="21" t="s">
        <v>9</v>
      </c>
      <c r="I22" s="29" t="s">
        <v>9</v>
      </c>
      <c r="J22" s="15" t="s">
        <v>10</v>
      </c>
      <c r="K22" s="16" t="s">
        <v>9</v>
      </c>
      <c r="L22" s="12" t="s">
        <v>1</v>
      </c>
      <c r="M22" s="17"/>
      <c r="N22" s="74" t="s">
        <v>664</v>
      </c>
    </row>
    <row r="23" spans="1:15">
      <c r="A23" s="11" t="s">
        <v>729</v>
      </c>
      <c r="B23" s="19" t="s">
        <v>93</v>
      </c>
      <c r="C23" s="10" t="s">
        <v>94</v>
      </c>
      <c r="D23" s="12" t="s">
        <v>95</v>
      </c>
      <c r="E23" s="12" t="s">
        <v>40</v>
      </c>
      <c r="F23" s="12" t="s">
        <v>59</v>
      </c>
      <c r="G23" s="12" t="s">
        <v>48</v>
      </c>
      <c r="H23" s="13" t="s">
        <v>10</v>
      </c>
      <c r="I23" s="14" t="s">
        <v>10</v>
      </c>
      <c r="J23" s="15" t="s">
        <v>10</v>
      </c>
      <c r="K23" s="16" t="s">
        <v>9</v>
      </c>
      <c r="L23" s="12" t="s">
        <v>1</v>
      </c>
      <c r="M23" s="17"/>
    </row>
    <row r="24" spans="1:15">
      <c r="A24" s="11" t="s">
        <v>730</v>
      </c>
      <c r="B24" s="19" t="s">
        <v>96</v>
      </c>
      <c r="C24" s="10" t="s">
        <v>97</v>
      </c>
      <c r="D24" s="12" t="s">
        <v>98</v>
      </c>
      <c r="E24" s="12" t="s">
        <v>40</v>
      </c>
      <c r="F24" s="12" t="s">
        <v>59</v>
      </c>
      <c r="G24" s="12" t="s">
        <v>48</v>
      </c>
      <c r="H24" s="13" t="s">
        <v>10</v>
      </c>
      <c r="I24" s="14" t="s">
        <v>9</v>
      </c>
      <c r="J24" s="15" t="s">
        <v>10</v>
      </c>
      <c r="K24" s="16" t="s">
        <v>9</v>
      </c>
      <c r="L24" s="12" t="s">
        <v>1</v>
      </c>
      <c r="M24" s="17"/>
    </row>
    <row r="25" spans="1:15">
      <c r="A25" s="11" t="s">
        <v>731</v>
      </c>
      <c r="B25" s="19" t="s">
        <v>99</v>
      </c>
      <c r="C25" s="10" t="s">
        <v>100</v>
      </c>
      <c r="D25" s="12" t="s">
        <v>65</v>
      </c>
      <c r="E25" s="12" t="s">
        <v>53</v>
      </c>
      <c r="F25" s="12" t="s">
        <v>84</v>
      </c>
      <c r="G25" s="12" t="s">
        <v>42</v>
      </c>
      <c r="H25" s="21" t="s">
        <v>11</v>
      </c>
      <c r="I25" s="29" t="s">
        <v>10</v>
      </c>
      <c r="J25" s="30" t="s">
        <v>11</v>
      </c>
      <c r="K25" s="16" t="s">
        <v>10</v>
      </c>
      <c r="L25" s="12" t="s">
        <v>1</v>
      </c>
      <c r="M25" s="17"/>
      <c r="N25" s="74" t="s">
        <v>664</v>
      </c>
    </row>
    <row r="26" spans="1:15">
      <c r="A26" s="11" t="s">
        <v>732</v>
      </c>
      <c r="B26" s="19" t="s">
        <v>101</v>
      </c>
      <c r="C26" s="10" t="s">
        <v>102</v>
      </c>
      <c r="D26" s="12" t="s">
        <v>65</v>
      </c>
      <c r="E26" s="12" t="s">
        <v>40</v>
      </c>
      <c r="F26" s="12" t="s">
        <v>84</v>
      </c>
      <c r="G26" s="12" t="s">
        <v>42</v>
      </c>
      <c r="H26" s="21" t="s">
        <v>10</v>
      </c>
      <c r="I26" s="14" t="s">
        <v>10</v>
      </c>
      <c r="J26" s="15" t="s">
        <v>10</v>
      </c>
      <c r="K26" s="22" t="s">
        <v>10</v>
      </c>
      <c r="L26" s="12" t="s">
        <v>1</v>
      </c>
      <c r="M26" s="17"/>
      <c r="N26" s="74" t="s">
        <v>664</v>
      </c>
    </row>
    <row r="27" spans="1:15">
      <c r="A27" s="11" t="s">
        <v>733</v>
      </c>
      <c r="B27" s="19" t="s">
        <v>103</v>
      </c>
      <c r="C27" s="10" t="s">
        <v>104</v>
      </c>
      <c r="D27" s="12" t="s">
        <v>65</v>
      </c>
      <c r="E27" s="12" t="s">
        <v>40</v>
      </c>
      <c r="F27" s="12" t="s">
        <v>84</v>
      </c>
      <c r="G27" s="12" t="s">
        <v>42</v>
      </c>
      <c r="H27" s="21" t="s">
        <v>9</v>
      </c>
      <c r="I27" s="29" t="s">
        <v>9</v>
      </c>
      <c r="J27" s="30" t="s">
        <v>9</v>
      </c>
      <c r="K27" s="16" t="s">
        <v>10</v>
      </c>
      <c r="L27" s="12" t="s">
        <v>1</v>
      </c>
      <c r="M27" s="17"/>
      <c r="N27" s="74" t="s">
        <v>664</v>
      </c>
    </row>
    <row r="28" spans="1:15">
      <c r="A28" s="11" t="s">
        <v>734</v>
      </c>
      <c r="B28" s="19" t="s">
        <v>105</v>
      </c>
      <c r="C28" s="10" t="s">
        <v>106</v>
      </c>
      <c r="D28" s="12" t="s">
        <v>65</v>
      </c>
      <c r="E28" s="12" t="s">
        <v>40</v>
      </c>
      <c r="F28" s="12" t="s">
        <v>84</v>
      </c>
      <c r="G28" s="12" t="s">
        <v>42</v>
      </c>
      <c r="H28" s="21" t="s">
        <v>10</v>
      </c>
      <c r="I28" s="14" t="s">
        <v>10</v>
      </c>
      <c r="J28" s="15" t="s">
        <v>10</v>
      </c>
      <c r="K28" s="22" t="s">
        <v>10</v>
      </c>
      <c r="L28" s="12" t="s">
        <v>1</v>
      </c>
      <c r="M28" s="17"/>
    </row>
    <row r="29" spans="1:15">
      <c r="A29" s="11" t="s">
        <v>735</v>
      </c>
      <c r="B29" s="19" t="s">
        <v>107</v>
      </c>
      <c r="C29" s="10" t="s">
        <v>108</v>
      </c>
      <c r="D29" s="12" t="s">
        <v>65</v>
      </c>
      <c r="E29" s="12" t="s">
        <v>40</v>
      </c>
      <c r="F29" s="12" t="s">
        <v>84</v>
      </c>
      <c r="G29" s="12" t="s">
        <v>48</v>
      </c>
      <c r="H29" s="21" t="s">
        <v>10</v>
      </c>
      <c r="I29" s="14" t="s">
        <v>10</v>
      </c>
      <c r="J29" s="15" t="s">
        <v>10</v>
      </c>
      <c r="K29" s="22" t="s">
        <v>10</v>
      </c>
      <c r="L29" s="12" t="s">
        <v>1</v>
      </c>
      <c r="M29" s="17"/>
    </row>
    <row r="30" spans="1:15">
      <c r="A30" s="11" t="s">
        <v>736</v>
      </c>
      <c r="B30" s="19" t="s">
        <v>109</v>
      </c>
      <c r="C30" s="10" t="s">
        <v>110</v>
      </c>
      <c r="D30" s="12" t="s">
        <v>65</v>
      </c>
      <c r="E30" s="12" t="s">
        <v>40</v>
      </c>
      <c r="F30" s="12" t="s">
        <v>66</v>
      </c>
      <c r="G30" s="12" t="s">
        <v>48</v>
      </c>
      <c r="H30" s="21" t="s">
        <v>9</v>
      </c>
      <c r="I30" s="29" t="s">
        <v>10</v>
      </c>
      <c r="J30" s="15" t="s">
        <v>10</v>
      </c>
      <c r="K30" s="16" t="s">
        <v>9</v>
      </c>
      <c r="L30" s="12" t="s">
        <v>1</v>
      </c>
      <c r="M30" s="17"/>
    </row>
    <row r="31" spans="1:15">
      <c r="A31" s="11" t="s">
        <v>737</v>
      </c>
      <c r="B31" s="19" t="s">
        <v>111</v>
      </c>
      <c r="C31" s="10" t="s">
        <v>112</v>
      </c>
      <c r="D31" s="12" t="s">
        <v>65</v>
      </c>
      <c r="E31" s="12" t="s">
        <v>40</v>
      </c>
      <c r="F31" s="12" t="s">
        <v>66</v>
      </c>
      <c r="G31" s="12" t="s">
        <v>48</v>
      </c>
      <c r="H31" s="21" t="s">
        <v>9</v>
      </c>
      <c r="I31" s="29" t="s">
        <v>10</v>
      </c>
      <c r="J31" s="30" t="s">
        <v>10</v>
      </c>
      <c r="K31" s="16" t="s">
        <v>10</v>
      </c>
      <c r="L31" s="12" t="s">
        <v>1</v>
      </c>
      <c r="M31" s="17"/>
    </row>
    <row r="32" spans="1:15" ht="29">
      <c r="A32" s="11" t="s">
        <v>738</v>
      </c>
      <c r="B32" s="19" t="s">
        <v>113</v>
      </c>
      <c r="C32" s="10" t="s">
        <v>114</v>
      </c>
      <c r="D32" s="12" t="s">
        <v>34</v>
      </c>
      <c r="E32" s="12" t="s">
        <v>40</v>
      </c>
      <c r="F32" s="12" t="s">
        <v>59</v>
      </c>
      <c r="G32" s="12" t="s">
        <v>36</v>
      </c>
      <c r="H32" s="21" t="s">
        <v>11</v>
      </c>
      <c r="I32" s="29" t="s">
        <v>10</v>
      </c>
      <c r="J32" s="30" t="s">
        <v>11</v>
      </c>
      <c r="K32" s="16" t="s">
        <v>9</v>
      </c>
      <c r="L32" s="12" t="s">
        <v>1</v>
      </c>
      <c r="M32" s="17"/>
    </row>
    <row r="33" spans="1:13" ht="29">
      <c r="A33" s="11" t="s">
        <v>739</v>
      </c>
      <c r="B33" s="19" t="s">
        <v>115</v>
      </c>
      <c r="C33" s="10" t="s">
        <v>116</v>
      </c>
      <c r="D33" s="12" t="s">
        <v>117</v>
      </c>
      <c r="E33" s="12" t="s">
        <v>53</v>
      </c>
      <c r="F33" s="12" t="s">
        <v>12</v>
      </c>
      <c r="G33" s="12" t="s">
        <v>42</v>
      </c>
      <c r="H33" s="21" t="s">
        <v>9</v>
      </c>
      <c r="I33" s="29" t="s">
        <v>9</v>
      </c>
      <c r="J33" s="15" t="s">
        <v>10</v>
      </c>
      <c r="K33" s="16" t="s">
        <v>9</v>
      </c>
      <c r="L33" s="12" t="s">
        <v>1</v>
      </c>
      <c r="M33" s="17"/>
    </row>
    <row r="34" spans="1:13">
      <c r="A34" s="11" t="s">
        <v>740</v>
      </c>
      <c r="B34" s="19" t="s">
        <v>118</v>
      </c>
      <c r="C34" s="10" t="s">
        <v>119</v>
      </c>
      <c r="D34" s="12" t="s">
        <v>65</v>
      </c>
      <c r="E34" s="12" t="s">
        <v>53</v>
      </c>
      <c r="F34" s="12" t="s">
        <v>84</v>
      </c>
      <c r="G34" s="12" t="s">
        <v>42</v>
      </c>
      <c r="H34" s="21" t="s">
        <v>11</v>
      </c>
      <c r="I34" s="14" t="s">
        <v>10</v>
      </c>
      <c r="J34" s="15" t="s">
        <v>11</v>
      </c>
      <c r="K34" s="22" t="s">
        <v>11</v>
      </c>
      <c r="L34" s="12" t="s">
        <v>1</v>
      </c>
      <c r="M34" s="17"/>
    </row>
    <row r="35" spans="1:13" ht="29">
      <c r="A35" s="11" t="s">
        <v>741</v>
      </c>
      <c r="B35" s="19" t="s">
        <v>120</v>
      </c>
      <c r="C35" s="10" t="s">
        <v>121</v>
      </c>
      <c r="D35" s="12" t="s">
        <v>65</v>
      </c>
      <c r="E35" s="12" t="s">
        <v>40</v>
      </c>
      <c r="F35" s="12" t="s">
        <v>84</v>
      </c>
      <c r="G35" s="12" t="s">
        <v>42</v>
      </c>
      <c r="H35" s="21" t="s">
        <v>9</v>
      </c>
      <c r="I35" s="29" t="s">
        <v>9</v>
      </c>
      <c r="J35" s="15" t="s">
        <v>9</v>
      </c>
      <c r="K35" s="16" t="s">
        <v>9</v>
      </c>
      <c r="L35" s="12" t="s">
        <v>1</v>
      </c>
      <c r="M35" s="17"/>
    </row>
    <row r="36" spans="1:13">
      <c r="A36" s="11" t="s">
        <v>742</v>
      </c>
      <c r="B36" s="19" t="s">
        <v>122</v>
      </c>
      <c r="C36" s="10" t="s">
        <v>123</v>
      </c>
      <c r="D36" s="12" t="s">
        <v>65</v>
      </c>
      <c r="E36" s="12" t="s">
        <v>53</v>
      </c>
      <c r="F36" s="12" t="s">
        <v>84</v>
      </c>
      <c r="G36" s="12" t="s">
        <v>42</v>
      </c>
      <c r="H36" s="21" t="s">
        <v>9</v>
      </c>
      <c r="I36" s="29" t="s">
        <v>9</v>
      </c>
      <c r="J36" s="15" t="s">
        <v>9</v>
      </c>
      <c r="K36" s="16" t="s">
        <v>9</v>
      </c>
      <c r="L36" s="12" t="s">
        <v>1</v>
      </c>
      <c r="M36" s="17"/>
    </row>
    <row r="37" spans="1:13">
      <c r="A37" s="11" t="s">
        <v>743</v>
      </c>
      <c r="B37" s="19" t="s">
        <v>124</v>
      </c>
      <c r="C37" s="10" t="s">
        <v>125</v>
      </c>
      <c r="D37" s="12" t="s">
        <v>65</v>
      </c>
      <c r="E37" s="12" t="s">
        <v>40</v>
      </c>
      <c r="F37" s="12" t="s">
        <v>84</v>
      </c>
      <c r="G37" s="12" t="s">
        <v>42</v>
      </c>
      <c r="H37" s="21" t="s">
        <v>9</v>
      </c>
      <c r="I37" s="29" t="s">
        <v>9</v>
      </c>
      <c r="J37" s="15" t="s">
        <v>9</v>
      </c>
      <c r="K37" s="16" t="s">
        <v>9</v>
      </c>
      <c r="L37" s="12" t="s">
        <v>1</v>
      </c>
      <c r="M37" s="17"/>
    </row>
    <row r="38" spans="1:13">
      <c r="A38" s="11" t="s">
        <v>744</v>
      </c>
      <c r="B38" s="19" t="s">
        <v>126</v>
      </c>
      <c r="C38" s="10" t="s">
        <v>127</v>
      </c>
      <c r="D38" s="12" t="s">
        <v>65</v>
      </c>
      <c r="E38" s="12" t="s">
        <v>40</v>
      </c>
      <c r="F38" s="12" t="s">
        <v>66</v>
      </c>
      <c r="G38" s="12" t="s">
        <v>48</v>
      </c>
      <c r="H38" s="21" t="s">
        <v>10</v>
      </c>
      <c r="I38" s="29" t="s">
        <v>11</v>
      </c>
      <c r="J38" s="15" t="s">
        <v>10</v>
      </c>
      <c r="K38" s="16" t="s">
        <v>11</v>
      </c>
      <c r="L38" s="12" t="s">
        <v>1</v>
      </c>
      <c r="M38" s="17"/>
    </row>
    <row r="39" spans="1:13">
      <c r="A39" s="11" t="s">
        <v>745</v>
      </c>
      <c r="B39" s="19" t="s">
        <v>128</v>
      </c>
      <c r="C39" s="10" t="s">
        <v>129</v>
      </c>
      <c r="D39" s="12" t="s">
        <v>130</v>
      </c>
      <c r="E39" s="12" t="s">
        <v>40</v>
      </c>
      <c r="F39" s="12" t="s">
        <v>59</v>
      </c>
      <c r="G39" s="12" t="s">
        <v>48</v>
      </c>
      <c r="H39" s="13" t="s">
        <v>11</v>
      </c>
      <c r="I39" s="14" t="s">
        <v>11</v>
      </c>
      <c r="J39" s="15" t="s">
        <v>11</v>
      </c>
      <c r="K39" s="16" t="s">
        <v>10</v>
      </c>
      <c r="L39" s="12" t="s">
        <v>1</v>
      </c>
      <c r="M39" s="17"/>
    </row>
    <row r="40" spans="1:13">
      <c r="A40" s="24" t="s">
        <v>133</v>
      </c>
      <c r="B40" s="23" t="s">
        <v>131</v>
      </c>
      <c r="C40" s="20" t="s">
        <v>132</v>
      </c>
      <c r="D40" s="25" t="s">
        <v>134</v>
      </c>
      <c r="E40" s="25" t="s">
        <v>53</v>
      </c>
      <c r="F40" s="25" t="s">
        <v>12</v>
      </c>
      <c r="G40" s="25" t="s">
        <v>48</v>
      </c>
      <c r="H40" s="13" t="s">
        <v>10</v>
      </c>
      <c r="I40" s="14" t="s">
        <v>9</v>
      </c>
      <c r="J40" s="15" t="s">
        <v>11</v>
      </c>
      <c r="K40" s="22" t="s">
        <v>9</v>
      </c>
      <c r="L40" s="12" t="s">
        <v>1</v>
      </c>
      <c r="M40" s="17"/>
    </row>
    <row r="41" spans="1:13">
      <c r="A41" s="11" t="s">
        <v>746</v>
      </c>
      <c r="B41" s="19" t="s">
        <v>135</v>
      </c>
      <c r="C41" s="10" t="s">
        <v>136</v>
      </c>
      <c r="D41" s="12" t="s">
        <v>137</v>
      </c>
      <c r="E41" s="12" t="s">
        <v>53</v>
      </c>
      <c r="F41" s="12" t="s">
        <v>12</v>
      </c>
      <c r="G41" s="12" t="s">
        <v>48</v>
      </c>
      <c r="H41" s="13" t="s">
        <v>11</v>
      </c>
      <c r="I41" s="14" t="s">
        <v>11</v>
      </c>
      <c r="J41" s="15" t="s">
        <v>11</v>
      </c>
      <c r="K41" s="16" t="s">
        <v>11</v>
      </c>
      <c r="L41" s="12" t="s">
        <v>1</v>
      </c>
      <c r="M41" s="17" t="s">
        <v>138</v>
      </c>
    </row>
    <row r="42" spans="1:13">
      <c r="A42" s="11" t="s">
        <v>747</v>
      </c>
      <c r="B42" s="19" t="s">
        <v>139</v>
      </c>
      <c r="C42" s="10" t="s">
        <v>140</v>
      </c>
      <c r="D42" s="12" t="s">
        <v>39</v>
      </c>
      <c r="E42" s="12" t="s">
        <v>40</v>
      </c>
      <c r="F42" s="12" t="s">
        <v>41</v>
      </c>
      <c r="G42" s="12" t="s">
        <v>48</v>
      </c>
      <c r="H42" s="21" t="s">
        <v>10</v>
      </c>
      <c r="I42" s="29" t="s">
        <v>10</v>
      </c>
      <c r="J42" s="30" t="s">
        <v>10</v>
      </c>
      <c r="K42" s="16" t="s">
        <v>10</v>
      </c>
      <c r="L42" s="12" t="s">
        <v>1</v>
      </c>
      <c r="M42" s="17"/>
    </row>
    <row r="43" spans="1:13">
      <c r="A43" s="11" t="s">
        <v>748</v>
      </c>
      <c r="B43" s="19" t="s">
        <v>141</v>
      </c>
      <c r="C43" s="10" t="s">
        <v>142</v>
      </c>
      <c r="D43" s="12" t="s">
        <v>143</v>
      </c>
      <c r="E43" s="12" t="s">
        <v>144</v>
      </c>
      <c r="F43" s="12" t="s">
        <v>12</v>
      </c>
      <c r="G43" s="12" t="s">
        <v>42</v>
      </c>
      <c r="H43" s="13" t="s">
        <v>10</v>
      </c>
      <c r="I43" s="14" t="s">
        <v>10</v>
      </c>
      <c r="J43" s="15" t="s">
        <v>11</v>
      </c>
      <c r="K43" s="16" t="s">
        <v>10</v>
      </c>
      <c r="L43" s="12" t="s">
        <v>1</v>
      </c>
      <c r="M43" s="17"/>
    </row>
    <row r="44" spans="1:13">
      <c r="A44" s="11" t="s">
        <v>749</v>
      </c>
      <c r="B44" s="19" t="s">
        <v>145</v>
      </c>
      <c r="C44" s="10" t="s">
        <v>146</v>
      </c>
      <c r="D44" s="12" t="s">
        <v>95</v>
      </c>
      <c r="E44" s="12" t="s">
        <v>40</v>
      </c>
      <c r="F44" s="12" t="s">
        <v>59</v>
      </c>
      <c r="G44" s="12" t="s">
        <v>48</v>
      </c>
      <c r="H44" s="13" t="s">
        <v>11</v>
      </c>
      <c r="I44" s="14" t="s">
        <v>9</v>
      </c>
      <c r="J44" s="15" t="s">
        <v>11</v>
      </c>
      <c r="K44" s="16" t="s">
        <v>9</v>
      </c>
      <c r="L44" s="12" t="s">
        <v>1</v>
      </c>
      <c r="M44" s="17"/>
    </row>
    <row r="45" spans="1:13">
      <c r="A45" s="24" t="s">
        <v>750</v>
      </c>
      <c r="B45" s="23" t="s">
        <v>147</v>
      </c>
      <c r="C45" s="26" t="s">
        <v>148</v>
      </c>
      <c r="D45" s="25" t="s">
        <v>149</v>
      </c>
      <c r="E45" s="25" t="s">
        <v>144</v>
      </c>
      <c r="F45" s="25" t="s">
        <v>12</v>
      </c>
      <c r="G45" s="25" t="s">
        <v>36</v>
      </c>
      <c r="H45" s="21" t="s">
        <v>11</v>
      </c>
      <c r="I45" s="14" t="s">
        <v>9</v>
      </c>
      <c r="J45" s="15" t="s">
        <v>11</v>
      </c>
      <c r="K45" s="16" t="s">
        <v>10</v>
      </c>
      <c r="L45" s="12" t="s">
        <v>1</v>
      </c>
      <c r="M45" s="17" t="s">
        <v>138</v>
      </c>
    </row>
    <row r="46" spans="1:13" ht="29">
      <c r="A46" s="28" t="s">
        <v>152</v>
      </c>
      <c r="B46" s="23" t="s">
        <v>150</v>
      </c>
      <c r="C46" s="27" t="s">
        <v>151</v>
      </c>
      <c r="D46" s="12" t="s">
        <v>117</v>
      </c>
      <c r="E46" s="12" t="s">
        <v>53</v>
      </c>
      <c r="F46" s="12" t="s">
        <v>12</v>
      </c>
      <c r="G46" s="12" t="s">
        <v>42</v>
      </c>
      <c r="H46" s="21" t="s">
        <v>9</v>
      </c>
      <c r="I46" s="29" t="s">
        <v>9</v>
      </c>
      <c r="J46" s="15" t="s">
        <v>10</v>
      </c>
      <c r="K46" s="16" t="s">
        <v>9</v>
      </c>
      <c r="L46" s="12" t="s">
        <v>1</v>
      </c>
      <c r="M46" s="17"/>
    </row>
    <row r="47" spans="1:13">
      <c r="A47" s="28" t="s">
        <v>155</v>
      </c>
      <c r="B47" s="23" t="s">
        <v>153</v>
      </c>
      <c r="C47" s="27" t="s">
        <v>154</v>
      </c>
      <c r="D47" s="25" t="s">
        <v>117</v>
      </c>
      <c r="E47" s="25" t="s">
        <v>144</v>
      </c>
      <c r="F47" s="25" t="s">
        <v>12</v>
      </c>
      <c r="G47" s="25" t="s">
        <v>42</v>
      </c>
      <c r="H47" s="13" t="s">
        <v>9</v>
      </c>
      <c r="I47" s="14" t="s">
        <v>9</v>
      </c>
      <c r="J47" s="15" t="s">
        <v>10</v>
      </c>
      <c r="K47" s="22" t="s">
        <v>9</v>
      </c>
      <c r="L47" s="12" t="s">
        <v>1</v>
      </c>
      <c r="M47" s="17"/>
    </row>
    <row r="48" spans="1:13">
      <c r="A48" s="11" t="s">
        <v>751</v>
      </c>
      <c r="B48" s="19" t="s">
        <v>156</v>
      </c>
      <c r="C48" s="20" t="s">
        <v>157</v>
      </c>
      <c r="D48" s="12" t="s">
        <v>39</v>
      </c>
      <c r="E48" s="12" t="s">
        <v>40</v>
      </c>
      <c r="F48" s="12" t="s">
        <v>41</v>
      </c>
      <c r="G48" s="12" t="s">
        <v>48</v>
      </c>
      <c r="H48" s="21" t="s">
        <v>11</v>
      </c>
      <c r="I48" s="14" t="s">
        <v>11</v>
      </c>
      <c r="J48" s="15" t="s">
        <v>11</v>
      </c>
      <c r="K48" s="22" t="s">
        <v>11</v>
      </c>
      <c r="L48" s="12" t="s">
        <v>1</v>
      </c>
      <c r="M48" s="17"/>
    </row>
    <row r="49" spans="1:13">
      <c r="A49" s="24" t="s">
        <v>752</v>
      </c>
      <c r="B49" s="23" t="s">
        <v>158</v>
      </c>
      <c r="C49" s="31" t="s">
        <v>159</v>
      </c>
      <c r="D49" s="12" t="s">
        <v>117</v>
      </c>
      <c r="E49" s="12" t="s">
        <v>53</v>
      </c>
      <c r="F49" s="12" t="s">
        <v>12</v>
      </c>
      <c r="G49" s="12" t="s">
        <v>42</v>
      </c>
      <c r="H49" s="21" t="s">
        <v>9</v>
      </c>
      <c r="I49" s="29" t="s">
        <v>9</v>
      </c>
      <c r="J49" s="15" t="s">
        <v>10</v>
      </c>
      <c r="K49" s="16" t="s">
        <v>9</v>
      </c>
      <c r="L49" s="12" t="s">
        <v>1</v>
      </c>
      <c r="M49" s="17"/>
    </row>
    <row r="50" spans="1:13">
      <c r="A50" s="11" t="s">
        <v>753</v>
      </c>
      <c r="B50" s="19" t="s">
        <v>160</v>
      </c>
      <c r="C50" s="10" t="s">
        <v>161</v>
      </c>
      <c r="D50" s="12" t="s">
        <v>65</v>
      </c>
      <c r="E50" s="12" t="s">
        <v>40</v>
      </c>
      <c r="F50" s="12" t="s">
        <v>66</v>
      </c>
      <c r="G50" s="12" t="s">
        <v>48</v>
      </c>
      <c r="H50" s="21" t="s">
        <v>10</v>
      </c>
      <c r="I50" s="14" t="s">
        <v>10</v>
      </c>
      <c r="J50" s="15" t="s">
        <v>11</v>
      </c>
      <c r="K50" s="22" t="s">
        <v>10</v>
      </c>
      <c r="L50" s="12" t="s">
        <v>1</v>
      </c>
      <c r="M50" s="17"/>
    </row>
    <row r="51" spans="1:13">
      <c r="A51" s="24" t="s">
        <v>754</v>
      </c>
      <c r="B51" s="23" t="s">
        <v>162</v>
      </c>
      <c r="C51" s="26" t="s">
        <v>163</v>
      </c>
      <c r="D51" s="25" t="s">
        <v>164</v>
      </c>
      <c r="E51" s="25" t="s">
        <v>53</v>
      </c>
      <c r="F51" s="25" t="s">
        <v>12</v>
      </c>
      <c r="G51" s="25" t="s">
        <v>48</v>
      </c>
      <c r="H51" s="21" t="s">
        <v>11</v>
      </c>
      <c r="I51" s="14" t="s">
        <v>11</v>
      </c>
      <c r="J51" s="15" t="s">
        <v>11</v>
      </c>
      <c r="K51" s="22" t="s">
        <v>11</v>
      </c>
      <c r="L51" s="12" t="s">
        <v>1</v>
      </c>
      <c r="M51" s="17"/>
    </row>
    <row r="52" spans="1:13" ht="29">
      <c r="A52" s="24" t="s">
        <v>755</v>
      </c>
      <c r="B52" s="23" t="s">
        <v>18</v>
      </c>
      <c r="C52" s="31" t="s">
        <v>165</v>
      </c>
      <c r="D52" s="25" t="s">
        <v>166</v>
      </c>
      <c r="E52" s="25" t="s">
        <v>144</v>
      </c>
      <c r="F52" s="25" t="s">
        <v>12</v>
      </c>
      <c r="G52" s="25" t="s">
        <v>42</v>
      </c>
      <c r="H52" s="13" t="s">
        <v>10</v>
      </c>
      <c r="I52" s="14" t="s">
        <v>10</v>
      </c>
      <c r="J52" s="15" t="s">
        <v>10</v>
      </c>
      <c r="K52" s="16" t="s">
        <v>10</v>
      </c>
      <c r="L52" s="12" t="s">
        <v>1</v>
      </c>
      <c r="M52" s="17"/>
    </row>
    <row r="53" spans="1:13">
      <c r="A53" s="11" t="s">
        <v>756</v>
      </c>
      <c r="B53" s="19" t="s">
        <v>167</v>
      </c>
      <c r="C53" s="10" t="s">
        <v>168</v>
      </c>
      <c r="D53" s="12" t="s">
        <v>169</v>
      </c>
      <c r="E53" s="12" t="s">
        <v>40</v>
      </c>
      <c r="F53" s="12" t="s">
        <v>59</v>
      </c>
      <c r="G53" s="12" t="s">
        <v>48</v>
      </c>
      <c r="H53" s="21" t="s">
        <v>11</v>
      </c>
      <c r="I53" s="29" t="s">
        <v>10</v>
      </c>
      <c r="J53" s="30" t="s">
        <v>11</v>
      </c>
      <c r="K53" s="16" t="s">
        <v>10</v>
      </c>
      <c r="L53" s="12" t="s">
        <v>1</v>
      </c>
      <c r="M53" s="17"/>
    </row>
    <row r="54" spans="1:13">
      <c r="A54" s="11" t="s">
        <v>757</v>
      </c>
      <c r="B54" s="19" t="s">
        <v>170</v>
      </c>
      <c r="C54" s="10" t="s">
        <v>171</v>
      </c>
      <c r="D54" s="12" t="s">
        <v>169</v>
      </c>
      <c r="E54" s="12" t="s">
        <v>40</v>
      </c>
      <c r="F54" s="12" t="s">
        <v>59</v>
      </c>
      <c r="G54" s="12" t="s">
        <v>48</v>
      </c>
      <c r="H54" s="13" t="s">
        <v>10</v>
      </c>
      <c r="I54" s="14" t="s">
        <v>10</v>
      </c>
      <c r="J54" s="15" t="s">
        <v>10</v>
      </c>
      <c r="K54" s="16" t="s">
        <v>9</v>
      </c>
      <c r="L54" s="12" t="s">
        <v>1</v>
      </c>
      <c r="M54" s="17"/>
    </row>
    <row r="55" spans="1:13">
      <c r="A55" s="11" t="s">
        <v>758</v>
      </c>
      <c r="B55" s="19" t="s">
        <v>172</v>
      </c>
      <c r="C55" s="10" t="s">
        <v>173</v>
      </c>
      <c r="D55" s="12" t="s">
        <v>65</v>
      </c>
      <c r="E55" s="12" t="s">
        <v>53</v>
      </c>
      <c r="F55" s="12" t="s">
        <v>84</v>
      </c>
      <c r="G55" s="12" t="s">
        <v>42</v>
      </c>
      <c r="H55" s="21" t="s">
        <v>10</v>
      </c>
      <c r="I55" s="14" t="s">
        <v>10</v>
      </c>
      <c r="J55" s="15" t="s">
        <v>10</v>
      </c>
      <c r="K55" s="22" t="s">
        <v>10</v>
      </c>
      <c r="L55" s="12" t="s">
        <v>1</v>
      </c>
      <c r="M55" s="17"/>
    </row>
    <row r="56" spans="1:13">
      <c r="A56" s="11" t="s">
        <v>759</v>
      </c>
      <c r="B56" s="19" t="s">
        <v>174</v>
      </c>
      <c r="C56" s="10" t="s">
        <v>175</v>
      </c>
      <c r="D56" s="12" t="s">
        <v>34</v>
      </c>
      <c r="E56" s="12" t="s">
        <v>40</v>
      </c>
      <c r="F56" s="12" t="s">
        <v>59</v>
      </c>
      <c r="G56" s="12" t="s">
        <v>48</v>
      </c>
      <c r="H56" s="13" t="s">
        <v>11</v>
      </c>
      <c r="I56" s="14" t="s">
        <v>11</v>
      </c>
      <c r="J56" s="15" t="s">
        <v>11</v>
      </c>
      <c r="K56" s="16" t="s">
        <v>11</v>
      </c>
      <c r="L56" s="12" t="s">
        <v>1</v>
      </c>
      <c r="M56" s="17" t="s">
        <v>176</v>
      </c>
    </row>
    <row r="57" spans="1:13">
      <c r="A57" s="28" t="s">
        <v>179</v>
      </c>
      <c r="B57" s="23" t="s">
        <v>177</v>
      </c>
      <c r="C57" s="27" t="s">
        <v>178</v>
      </c>
      <c r="D57" s="25" t="s">
        <v>39</v>
      </c>
      <c r="E57" s="25" t="s">
        <v>53</v>
      </c>
      <c r="F57" s="25" t="s">
        <v>12</v>
      </c>
      <c r="G57" s="25" t="s">
        <v>42</v>
      </c>
      <c r="H57" s="13" t="s">
        <v>9</v>
      </c>
      <c r="I57" s="14" t="s">
        <v>9</v>
      </c>
      <c r="J57" s="15" t="s">
        <v>9</v>
      </c>
      <c r="K57" s="22" t="s">
        <v>9</v>
      </c>
      <c r="L57" s="12" t="s">
        <v>1</v>
      </c>
      <c r="M57" s="17"/>
    </row>
    <row r="58" spans="1:13">
      <c r="A58" s="24" t="s">
        <v>760</v>
      </c>
      <c r="B58" s="23" t="s">
        <v>180</v>
      </c>
      <c r="C58" s="31" t="s">
        <v>181</v>
      </c>
      <c r="D58" s="25" t="s">
        <v>182</v>
      </c>
      <c r="E58" s="25" t="s">
        <v>40</v>
      </c>
      <c r="F58" s="25" t="s">
        <v>12</v>
      </c>
      <c r="G58" s="25" t="s">
        <v>42</v>
      </c>
      <c r="H58" s="13" t="s">
        <v>10</v>
      </c>
      <c r="I58" s="14" t="s">
        <v>10</v>
      </c>
      <c r="J58" s="15" t="s">
        <v>10</v>
      </c>
      <c r="K58" s="22" t="s">
        <v>10</v>
      </c>
      <c r="L58" s="12" t="s">
        <v>1</v>
      </c>
      <c r="M58" s="17"/>
    </row>
    <row r="59" spans="1:13">
      <c r="A59" s="24" t="s">
        <v>761</v>
      </c>
      <c r="B59" s="23" t="s">
        <v>183</v>
      </c>
      <c r="C59" s="31" t="s">
        <v>184</v>
      </c>
      <c r="D59" s="25" t="s">
        <v>182</v>
      </c>
      <c r="E59" s="25" t="s">
        <v>40</v>
      </c>
      <c r="F59" s="25" t="s">
        <v>12</v>
      </c>
      <c r="G59" s="25" t="s">
        <v>48</v>
      </c>
      <c r="H59" s="13" t="s">
        <v>10</v>
      </c>
      <c r="I59" s="14" t="s">
        <v>10</v>
      </c>
      <c r="J59" s="15" t="s">
        <v>10</v>
      </c>
      <c r="K59" s="22" t="s">
        <v>10</v>
      </c>
      <c r="L59" s="12" t="s">
        <v>1</v>
      </c>
      <c r="M59" s="17"/>
    </row>
    <row r="60" spans="1:13">
      <c r="A60" s="24" t="s">
        <v>762</v>
      </c>
      <c r="B60" s="23" t="s">
        <v>185</v>
      </c>
      <c r="C60" s="31" t="s">
        <v>186</v>
      </c>
      <c r="D60" s="25" t="s">
        <v>143</v>
      </c>
      <c r="E60" s="25" t="s">
        <v>40</v>
      </c>
      <c r="F60" s="25" t="s">
        <v>12</v>
      </c>
      <c r="G60" s="25" t="s">
        <v>42</v>
      </c>
      <c r="H60" s="13" t="s">
        <v>9</v>
      </c>
      <c r="I60" s="14" t="s">
        <v>9</v>
      </c>
      <c r="J60" s="15" t="s">
        <v>9</v>
      </c>
      <c r="K60" s="16" t="s">
        <v>9</v>
      </c>
      <c r="L60" s="12" t="s">
        <v>1</v>
      </c>
      <c r="M60" s="17"/>
    </row>
    <row r="61" spans="1:13">
      <c r="A61" s="11" t="s">
        <v>763</v>
      </c>
      <c r="B61" s="19" t="s">
        <v>187</v>
      </c>
      <c r="C61" s="20" t="s">
        <v>188</v>
      </c>
      <c r="D61" s="12" t="s">
        <v>39</v>
      </c>
      <c r="E61" s="12" t="s">
        <v>40</v>
      </c>
      <c r="F61" s="12" t="s">
        <v>41</v>
      </c>
      <c r="G61" s="12" t="s">
        <v>42</v>
      </c>
      <c r="H61" s="21" t="s">
        <v>9</v>
      </c>
      <c r="I61" s="29" t="s">
        <v>9</v>
      </c>
      <c r="J61" s="30" t="s">
        <v>11</v>
      </c>
      <c r="K61" s="16" t="s">
        <v>11</v>
      </c>
      <c r="L61" s="12" t="s">
        <v>1</v>
      </c>
      <c r="M61" s="17"/>
    </row>
    <row r="62" spans="1:13">
      <c r="A62" s="11" t="s">
        <v>764</v>
      </c>
      <c r="B62" s="19" t="s">
        <v>189</v>
      </c>
      <c r="C62" s="20" t="s">
        <v>190</v>
      </c>
      <c r="D62" s="12" t="s">
        <v>39</v>
      </c>
      <c r="E62" s="12" t="s">
        <v>53</v>
      </c>
      <c r="F62" s="12" t="s">
        <v>41</v>
      </c>
      <c r="G62" s="12" t="s">
        <v>42</v>
      </c>
      <c r="H62" s="21" t="s">
        <v>9</v>
      </c>
      <c r="I62" s="14" t="s">
        <v>9</v>
      </c>
      <c r="J62" s="15" t="s">
        <v>9</v>
      </c>
      <c r="K62" s="22" t="s">
        <v>9</v>
      </c>
      <c r="L62" s="12" t="s">
        <v>1</v>
      </c>
      <c r="M62" s="17"/>
    </row>
    <row r="63" spans="1:13">
      <c r="A63" s="28" t="s">
        <v>193</v>
      </c>
      <c r="B63" s="23" t="s">
        <v>191</v>
      </c>
      <c r="C63" s="27" t="s">
        <v>192</v>
      </c>
      <c r="D63" s="25" t="s">
        <v>39</v>
      </c>
      <c r="E63" s="25" t="s">
        <v>53</v>
      </c>
      <c r="F63" s="25" t="s">
        <v>41</v>
      </c>
      <c r="G63" s="25" t="s">
        <v>42</v>
      </c>
      <c r="H63" s="13" t="s">
        <v>9</v>
      </c>
      <c r="I63" s="14" t="s">
        <v>9</v>
      </c>
      <c r="J63" s="15" t="s">
        <v>10</v>
      </c>
      <c r="K63" s="22" t="s">
        <v>9</v>
      </c>
      <c r="L63" s="12" t="s">
        <v>1</v>
      </c>
      <c r="M63" s="17"/>
    </row>
    <row r="64" spans="1:13">
      <c r="A64" s="11" t="s">
        <v>765</v>
      </c>
      <c r="B64" s="19" t="s">
        <v>194</v>
      </c>
      <c r="C64" s="20" t="s">
        <v>195</v>
      </c>
      <c r="D64" s="12" t="s">
        <v>39</v>
      </c>
      <c r="E64" s="12" t="s">
        <v>53</v>
      </c>
      <c r="F64" s="12" t="s">
        <v>41</v>
      </c>
      <c r="G64" s="12" t="s">
        <v>42</v>
      </c>
      <c r="H64" s="21" t="s">
        <v>9</v>
      </c>
      <c r="I64" s="14" t="s">
        <v>9</v>
      </c>
      <c r="J64" s="15" t="s">
        <v>10</v>
      </c>
      <c r="K64" s="22" t="s">
        <v>9</v>
      </c>
      <c r="L64" s="12" t="s">
        <v>1</v>
      </c>
      <c r="M64" s="17"/>
    </row>
    <row r="65" spans="1:14">
      <c r="A65" s="28" t="s">
        <v>198</v>
      </c>
      <c r="B65" s="23" t="s">
        <v>196</v>
      </c>
      <c r="C65" s="27" t="s">
        <v>197</v>
      </c>
      <c r="D65" s="25" t="s">
        <v>39</v>
      </c>
      <c r="E65" s="25" t="s">
        <v>53</v>
      </c>
      <c r="F65" s="25" t="s">
        <v>41</v>
      </c>
      <c r="G65" s="25" t="s">
        <v>42</v>
      </c>
      <c r="H65" s="13" t="s">
        <v>10</v>
      </c>
      <c r="I65" s="14" t="s">
        <v>9</v>
      </c>
      <c r="J65" s="15" t="s">
        <v>10</v>
      </c>
      <c r="K65" s="22" t="s">
        <v>9</v>
      </c>
      <c r="L65" s="12" t="s">
        <v>1</v>
      </c>
      <c r="M65" s="17"/>
    </row>
    <row r="66" spans="1:14" ht="15.4" customHeight="1">
      <c r="A66" s="11" t="s">
        <v>766</v>
      </c>
      <c r="B66" s="19" t="s">
        <v>199</v>
      </c>
      <c r="C66" s="20" t="s">
        <v>200</v>
      </c>
      <c r="D66" s="12" t="s">
        <v>39</v>
      </c>
      <c r="E66" s="12" t="s">
        <v>53</v>
      </c>
      <c r="F66" s="12" t="s">
        <v>41</v>
      </c>
      <c r="G66" s="12" t="s">
        <v>42</v>
      </c>
      <c r="H66" s="21" t="s">
        <v>9</v>
      </c>
      <c r="I66" s="29" t="s">
        <v>10</v>
      </c>
      <c r="J66" s="30" t="s">
        <v>10</v>
      </c>
      <c r="K66" s="16" t="s">
        <v>10</v>
      </c>
      <c r="L66" s="12" t="s">
        <v>1</v>
      </c>
      <c r="M66" s="17"/>
    </row>
    <row r="67" spans="1:14">
      <c r="A67" s="11" t="s">
        <v>767</v>
      </c>
      <c r="B67" s="19" t="s">
        <v>201</v>
      </c>
      <c r="C67" s="20" t="s">
        <v>202</v>
      </c>
      <c r="D67" s="12" t="s">
        <v>39</v>
      </c>
      <c r="E67" s="12" t="s">
        <v>144</v>
      </c>
      <c r="F67" s="12" t="s">
        <v>41</v>
      </c>
      <c r="G67" s="12" t="s">
        <v>42</v>
      </c>
      <c r="H67" s="21" t="s">
        <v>10</v>
      </c>
      <c r="I67" s="14" t="s">
        <v>10</v>
      </c>
      <c r="J67" s="15" t="s">
        <v>10</v>
      </c>
      <c r="K67" s="22" t="s">
        <v>10</v>
      </c>
      <c r="L67" s="12" t="s">
        <v>1</v>
      </c>
      <c r="M67" s="17"/>
    </row>
    <row r="68" spans="1:14">
      <c r="A68" s="11" t="s">
        <v>768</v>
      </c>
      <c r="B68" s="19" t="s">
        <v>203</v>
      </c>
      <c r="C68" s="20" t="s">
        <v>204</v>
      </c>
      <c r="D68" s="12" t="s">
        <v>39</v>
      </c>
      <c r="E68" s="12" t="s">
        <v>144</v>
      </c>
      <c r="F68" s="12" t="s">
        <v>41</v>
      </c>
      <c r="G68" s="12" t="s">
        <v>42</v>
      </c>
      <c r="H68" s="21" t="s">
        <v>10</v>
      </c>
      <c r="I68" s="29" t="s">
        <v>9</v>
      </c>
      <c r="J68" s="30" t="s">
        <v>10</v>
      </c>
      <c r="K68" s="16" t="s">
        <v>10</v>
      </c>
      <c r="L68" s="12" t="s">
        <v>1</v>
      </c>
      <c r="M68" s="17"/>
    </row>
    <row r="69" spans="1:14">
      <c r="A69" s="28" t="s">
        <v>207</v>
      </c>
      <c r="B69" s="23" t="s">
        <v>205</v>
      </c>
      <c r="C69" s="27" t="s">
        <v>206</v>
      </c>
      <c r="D69" s="25" t="s">
        <v>39</v>
      </c>
      <c r="E69" s="25" t="s">
        <v>53</v>
      </c>
      <c r="F69" s="25" t="s">
        <v>41</v>
      </c>
      <c r="G69" s="25" t="s">
        <v>42</v>
      </c>
      <c r="H69" s="13"/>
      <c r="I69" s="14"/>
      <c r="J69" s="15"/>
      <c r="K69" s="22"/>
      <c r="L69" s="12" t="s">
        <v>1</v>
      </c>
      <c r="M69" s="17"/>
    </row>
    <row r="70" spans="1:14">
      <c r="A70" s="11" t="s">
        <v>769</v>
      </c>
      <c r="B70" s="19" t="s">
        <v>208</v>
      </c>
      <c r="C70" s="20" t="s">
        <v>209</v>
      </c>
      <c r="D70" s="12" t="s">
        <v>39</v>
      </c>
      <c r="E70" s="12" t="s">
        <v>53</v>
      </c>
      <c r="F70" s="12" t="s">
        <v>41</v>
      </c>
      <c r="G70" s="12" t="s">
        <v>42</v>
      </c>
      <c r="H70" s="21" t="s">
        <v>10</v>
      </c>
      <c r="I70" s="29" t="s">
        <v>9</v>
      </c>
      <c r="J70" s="30" t="s">
        <v>10</v>
      </c>
      <c r="K70" s="16" t="s">
        <v>10</v>
      </c>
      <c r="L70" s="12" t="s">
        <v>1</v>
      </c>
      <c r="M70" s="17"/>
    </row>
    <row r="71" spans="1:14">
      <c r="A71" s="11" t="s">
        <v>770</v>
      </c>
      <c r="B71" s="19" t="s">
        <v>17</v>
      </c>
      <c r="C71" s="20" t="s">
        <v>210</v>
      </c>
      <c r="D71" s="12" t="s">
        <v>39</v>
      </c>
      <c r="E71" s="12" t="s">
        <v>40</v>
      </c>
      <c r="F71" s="12" t="s">
        <v>41</v>
      </c>
      <c r="G71" s="12" t="s">
        <v>42</v>
      </c>
      <c r="H71" s="21" t="s">
        <v>9</v>
      </c>
      <c r="I71" s="29" t="s">
        <v>9</v>
      </c>
      <c r="J71" s="30" t="s">
        <v>10</v>
      </c>
      <c r="K71" s="16" t="s">
        <v>9</v>
      </c>
      <c r="L71" s="12" t="s">
        <v>1</v>
      </c>
      <c r="M71" s="17"/>
    </row>
    <row r="72" spans="1:14">
      <c r="A72" s="11" t="s">
        <v>771</v>
      </c>
      <c r="B72" s="19" t="s">
        <v>211</v>
      </c>
      <c r="C72" s="20" t="s">
        <v>212</v>
      </c>
      <c r="D72" s="12" t="s">
        <v>39</v>
      </c>
      <c r="E72" s="12" t="s">
        <v>53</v>
      </c>
      <c r="F72" s="12" t="s">
        <v>41</v>
      </c>
      <c r="G72" s="12" t="s">
        <v>42</v>
      </c>
      <c r="H72" s="21" t="s">
        <v>9</v>
      </c>
      <c r="I72" s="14" t="s">
        <v>9</v>
      </c>
      <c r="J72" s="15" t="s">
        <v>9</v>
      </c>
      <c r="K72" s="22" t="s">
        <v>9</v>
      </c>
      <c r="L72" s="12" t="s">
        <v>1</v>
      </c>
      <c r="M72" s="17"/>
    </row>
    <row r="73" spans="1:14">
      <c r="A73" s="11" t="s">
        <v>772</v>
      </c>
      <c r="B73" s="19" t="s">
        <v>213</v>
      </c>
      <c r="C73" s="20" t="s">
        <v>214</v>
      </c>
      <c r="D73" s="12" t="s">
        <v>39</v>
      </c>
      <c r="E73" s="12" t="s">
        <v>40</v>
      </c>
      <c r="F73" s="12" t="s">
        <v>41</v>
      </c>
      <c r="G73" s="12" t="s">
        <v>42</v>
      </c>
      <c r="H73" s="21" t="s">
        <v>9</v>
      </c>
      <c r="I73" s="29" t="s">
        <v>9</v>
      </c>
      <c r="J73" s="30" t="s">
        <v>9</v>
      </c>
      <c r="K73" s="16" t="s">
        <v>10</v>
      </c>
      <c r="L73" s="12" t="s">
        <v>1</v>
      </c>
      <c r="M73" s="17"/>
      <c r="N73" s="74" t="s">
        <v>664</v>
      </c>
    </row>
    <row r="74" spans="1:14" ht="29">
      <c r="A74" s="24" t="s">
        <v>773</v>
      </c>
      <c r="B74" s="23" t="s">
        <v>215</v>
      </c>
      <c r="C74" s="26" t="s">
        <v>216</v>
      </c>
      <c r="D74" s="25" t="s">
        <v>143</v>
      </c>
      <c r="E74" s="25" t="s">
        <v>53</v>
      </c>
      <c r="F74" s="25" t="s">
        <v>12</v>
      </c>
      <c r="G74" s="25" t="s">
        <v>48</v>
      </c>
      <c r="H74" s="21" t="s">
        <v>11</v>
      </c>
      <c r="I74" s="14" t="s">
        <v>10</v>
      </c>
      <c r="J74" s="15" t="s">
        <v>11</v>
      </c>
      <c r="K74" s="22" t="s">
        <v>10</v>
      </c>
      <c r="L74" s="12" t="s">
        <v>1</v>
      </c>
      <c r="M74" s="17" t="s">
        <v>217</v>
      </c>
    </row>
    <row r="75" spans="1:14">
      <c r="A75" s="11" t="s">
        <v>774</v>
      </c>
      <c r="B75" s="19" t="s">
        <v>218</v>
      </c>
      <c r="C75" s="10" t="s">
        <v>219</v>
      </c>
      <c r="D75" s="12" t="s">
        <v>65</v>
      </c>
      <c r="E75" s="12" t="s">
        <v>53</v>
      </c>
      <c r="F75" s="12" t="s">
        <v>84</v>
      </c>
      <c r="G75" s="12" t="s">
        <v>42</v>
      </c>
      <c r="H75" s="21" t="s">
        <v>9</v>
      </c>
      <c r="I75" s="14" t="s">
        <v>9</v>
      </c>
      <c r="J75" s="15" t="s">
        <v>9</v>
      </c>
      <c r="K75" s="22" t="s">
        <v>9</v>
      </c>
      <c r="L75" s="12" t="s">
        <v>1</v>
      </c>
      <c r="M75" s="17"/>
    </row>
    <row r="76" spans="1:14">
      <c r="A76" s="11" t="s">
        <v>775</v>
      </c>
      <c r="B76" s="19" t="s">
        <v>220</v>
      </c>
      <c r="C76" s="10" t="s">
        <v>221</v>
      </c>
      <c r="D76" s="12" t="s">
        <v>65</v>
      </c>
      <c r="E76" s="12" t="s">
        <v>53</v>
      </c>
      <c r="F76" s="12" t="s">
        <v>66</v>
      </c>
      <c r="G76" s="12" t="s">
        <v>42</v>
      </c>
      <c r="H76" s="21" t="s">
        <v>9</v>
      </c>
      <c r="I76" s="29" t="s">
        <v>9</v>
      </c>
      <c r="J76" s="30" t="s">
        <v>9</v>
      </c>
      <c r="K76" s="16" t="s">
        <v>9</v>
      </c>
      <c r="L76" s="12" t="s">
        <v>1</v>
      </c>
      <c r="M76" s="17"/>
    </row>
    <row r="77" spans="1:14">
      <c r="A77" s="24" t="s">
        <v>776</v>
      </c>
      <c r="B77" s="23" t="s">
        <v>222</v>
      </c>
      <c r="C77" s="20" t="s">
        <v>223</v>
      </c>
      <c r="D77" s="25" t="s">
        <v>65</v>
      </c>
      <c r="E77" s="25" t="s">
        <v>53</v>
      </c>
      <c r="F77" s="25" t="s">
        <v>66</v>
      </c>
      <c r="G77" s="25" t="s">
        <v>36</v>
      </c>
      <c r="H77" s="13" t="s">
        <v>9</v>
      </c>
      <c r="I77" s="14" t="s">
        <v>9</v>
      </c>
      <c r="J77" s="15" t="s">
        <v>9</v>
      </c>
      <c r="K77" s="22" t="s">
        <v>9</v>
      </c>
      <c r="L77" s="12" t="s">
        <v>1</v>
      </c>
      <c r="M77" s="17"/>
    </row>
    <row r="78" spans="1:14">
      <c r="A78" s="11" t="s">
        <v>777</v>
      </c>
      <c r="B78" s="19" t="s">
        <v>16</v>
      </c>
      <c r="C78" s="10" t="s">
        <v>224</v>
      </c>
      <c r="D78" s="12" t="s">
        <v>65</v>
      </c>
      <c r="E78" s="12" t="s">
        <v>53</v>
      </c>
      <c r="F78" s="12" t="s">
        <v>66</v>
      </c>
      <c r="G78" s="12" t="s">
        <v>42</v>
      </c>
      <c r="H78" s="21" t="s">
        <v>9</v>
      </c>
      <c r="I78" s="29" t="s">
        <v>9</v>
      </c>
      <c r="J78" s="30" t="s">
        <v>9</v>
      </c>
      <c r="K78" s="16" t="s">
        <v>9</v>
      </c>
      <c r="L78" s="12" t="s">
        <v>1</v>
      </c>
      <c r="M78" s="17"/>
      <c r="N78" s="74" t="s">
        <v>664</v>
      </c>
    </row>
    <row r="79" spans="1:14">
      <c r="A79" s="11" t="s">
        <v>778</v>
      </c>
      <c r="B79" s="19" t="s">
        <v>225</v>
      </c>
      <c r="C79" s="10" t="s">
        <v>226</v>
      </c>
      <c r="D79" s="12" t="s">
        <v>65</v>
      </c>
      <c r="E79" s="12" t="s">
        <v>53</v>
      </c>
      <c r="F79" s="12" t="s">
        <v>66</v>
      </c>
      <c r="G79" s="12" t="s">
        <v>42</v>
      </c>
      <c r="H79" s="21" t="s">
        <v>9</v>
      </c>
      <c r="I79" s="29" t="s">
        <v>9</v>
      </c>
      <c r="J79" s="30" t="s">
        <v>9</v>
      </c>
      <c r="K79" s="16" t="s">
        <v>9</v>
      </c>
      <c r="L79" s="12" t="s">
        <v>1</v>
      </c>
      <c r="M79" s="17"/>
    </row>
    <row r="80" spans="1:14">
      <c r="A80" s="24" t="s">
        <v>779</v>
      </c>
      <c r="B80" s="23" t="s">
        <v>227</v>
      </c>
      <c r="C80" s="26" t="s">
        <v>228</v>
      </c>
      <c r="D80" s="25" t="s">
        <v>143</v>
      </c>
      <c r="E80" s="25" t="s">
        <v>40</v>
      </c>
      <c r="F80" s="25" t="s">
        <v>12</v>
      </c>
      <c r="G80" s="25" t="s">
        <v>48</v>
      </c>
      <c r="H80" s="21" t="s">
        <v>11</v>
      </c>
      <c r="I80" s="14" t="s">
        <v>11</v>
      </c>
      <c r="J80" s="15" t="s">
        <v>11</v>
      </c>
      <c r="K80" s="22" t="s">
        <v>11</v>
      </c>
      <c r="L80" s="12" t="s">
        <v>1</v>
      </c>
      <c r="M80" s="17"/>
    </row>
    <row r="81" spans="1:13">
      <c r="A81" s="24" t="s">
        <v>780</v>
      </c>
      <c r="B81" s="23" t="s">
        <v>229</v>
      </c>
      <c r="C81" s="26" t="s">
        <v>230</v>
      </c>
      <c r="D81" s="25" t="s">
        <v>143</v>
      </c>
      <c r="E81" s="25" t="s">
        <v>53</v>
      </c>
      <c r="F81" s="25" t="s">
        <v>12</v>
      </c>
      <c r="G81" s="25" t="s">
        <v>36</v>
      </c>
      <c r="H81" s="21" t="s">
        <v>11</v>
      </c>
      <c r="I81" s="14" t="s">
        <v>11</v>
      </c>
      <c r="J81" s="15" t="s">
        <v>11</v>
      </c>
      <c r="K81" s="22" t="s">
        <v>11</v>
      </c>
      <c r="L81" s="12" t="s">
        <v>1</v>
      </c>
      <c r="M81" s="17"/>
    </row>
    <row r="82" spans="1:13">
      <c r="A82" s="11" t="s">
        <v>781</v>
      </c>
      <c r="B82" s="19" t="s">
        <v>231</v>
      </c>
      <c r="C82" s="10" t="s">
        <v>232</v>
      </c>
      <c r="D82" s="12" t="s">
        <v>143</v>
      </c>
      <c r="E82" s="12" t="s">
        <v>53</v>
      </c>
      <c r="F82" s="12" t="s">
        <v>12</v>
      </c>
      <c r="G82" s="12" t="s">
        <v>42</v>
      </c>
      <c r="H82" s="13" t="s">
        <v>10</v>
      </c>
      <c r="I82" s="14" t="s">
        <v>10</v>
      </c>
      <c r="J82" s="15" t="s">
        <v>10</v>
      </c>
      <c r="K82" s="16" t="s">
        <v>10</v>
      </c>
      <c r="L82" s="12" t="s">
        <v>1</v>
      </c>
      <c r="M82" s="17"/>
    </row>
    <row r="83" spans="1:13">
      <c r="A83" s="11" t="s">
        <v>782</v>
      </c>
      <c r="B83" s="19" t="s">
        <v>233</v>
      </c>
      <c r="C83" s="10" t="s">
        <v>234</v>
      </c>
      <c r="D83" s="12" t="s">
        <v>65</v>
      </c>
      <c r="E83" s="12" t="s">
        <v>40</v>
      </c>
      <c r="F83" s="12" t="s">
        <v>66</v>
      </c>
      <c r="G83" s="12" t="s">
        <v>42</v>
      </c>
      <c r="H83" s="21" t="s">
        <v>9</v>
      </c>
      <c r="I83" s="29" t="s">
        <v>9</v>
      </c>
      <c r="J83" s="30" t="s">
        <v>10</v>
      </c>
      <c r="K83" s="16" t="s">
        <v>10</v>
      </c>
      <c r="L83" s="12" t="s">
        <v>1</v>
      </c>
      <c r="M83" s="17"/>
    </row>
    <row r="84" spans="1:13">
      <c r="A84" s="24" t="s">
        <v>783</v>
      </c>
      <c r="B84" s="23" t="s">
        <v>235</v>
      </c>
      <c r="C84" s="31" t="s">
        <v>236</v>
      </c>
      <c r="D84" s="25" t="s">
        <v>143</v>
      </c>
      <c r="E84" s="25" t="s">
        <v>40</v>
      </c>
      <c r="F84" s="25" t="s">
        <v>12</v>
      </c>
      <c r="G84" s="25" t="s">
        <v>42</v>
      </c>
      <c r="H84" s="13" t="s">
        <v>10</v>
      </c>
      <c r="I84" s="14" t="s">
        <v>9</v>
      </c>
      <c r="J84" s="15" t="s">
        <v>10</v>
      </c>
      <c r="K84" s="22" t="s">
        <v>9</v>
      </c>
      <c r="L84" s="12" t="s">
        <v>1</v>
      </c>
      <c r="M84" s="17"/>
    </row>
    <row r="85" spans="1:13">
      <c r="A85" s="11" t="s">
        <v>784</v>
      </c>
      <c r="B85" s="19" t="s">
        <v>237</v>
      </c>
      <c r="C85" s="10" t="s">
        <v>238</v>
      </c>
      <c r="D85" s="12" t="s">
        <v>65</v>
      </c>
      <c r="E85" s="12" t="s">
        <v>40</v>
      </c>
      <c r="F85" s="12" t="s">
        <v>66</v>
      </c>
      <c r="G85" s="12" t="s">
        <v>48</v>
      </c>
      <c r="H85" s="21" t="s">
        <v>10</v>
      </c>
      <c r="I85" s="29" t="s">
        <v>10</v>
      </c>
      <c r="J85" s="30" t="s">
        <v>11</v>
      </c>
      <c r="K85" s="16" t="s">
        <v>10</v>
      </c>
      <c r="L85" s="12" t="s">
        <v>1</v>
      </c>
      <c r="M85" s="17"/>
    </row>
    <row r="86" spans="1:13">
      <c r="A86" s="24" t="s">
        <v>241</v>
      </c>
      <c r="B86" s="23" t="s">
        <v>239</v>
      </c>
      <c r="C86" s="31" t="s">
        <v>240</v>
      </c>
      <c r="D86" s="25" t="s">
        <v>143</v>
      </c>
      <c r="E86" s="25" t="s">
        <v>144</v>
      </c>
      <c r="F86" s="25" t="s">
        <v>12</v>
      </c>
      <c r="G86" s="25" t="s">
        <v>42</v>
      </c>
      <c r="H86" s="13" t="s">
        <v>10</v>
      </c>
      <c r="I86" s="14" t="s">
        <v>10</v>
      </c>
      <c r="J86" s="15" t="s">
        <v>11</v>
      </c>
      <c r="K86" s="22" t="s">
        <v>10</v>
      </c>
      <c r="L86" s="12" t="s">
        <v>1</v>
      </c>
      <c r="M86" s="17"/>
    </row>
    <row r="87" spans="1:13">
      <c r="A87" s="24" t="s">
        <v>785</v>
      </c>
      <c r="B87" s="23" t="s">
        <v>242</v>
      </c>
      <c r="C87" s="26" t="s">
        <v>243</v>
      </c>
      <c r="D87" s="25" t="s">
        <v>134</v>
      </c>
      <c r="E87" s="25" t="s">
        <v>40</v>
      </c>
      <c r="F87" s="25" t="s">
        <v>12</v>
      </c>
      <c r="G87" s="25" t="s">
        <v>42</v>
      </c>
      <c r="H87" s="21" t="s">
        <v>11</v>
      </c>
      <c r="I87" s="14" t="s">
        <v>10</v>
      </c>
      <c r="J87" s="15" t="s">
        <v>11</v>
      </c>
      <c r="K87" s="22" t="s">
        <v>10</v>
      </c>
      <c r="L87" s="12" t="s">
        <v>1</v>
      </c>
      <c r="M87" s="17"/>
    </row>
    <row r="88" spans="1:13">
      <c r="A88" s="24" t="s">
        <v>786</v>
      </c>
      <c r="B88" s="23" t="s">
        <v>244</v>
      </c>
      <c r="C88" s="26" t="s">
        <v>245</v>
      </c>
      <c r="D88" s="25" t="s">
        <v>134</v>
      </c>
      <c r="E88" s="25" t="s">
        <v>40</v>
      </c>
      <c r="F88" s="25" t="s">
        <v>12</v>
      </c>
      <c r="G88" s="25" t="s">
        <v>42</v>
      </c>
      <c r="H88" s="21" t="s">
        <v>10</v>
      </c>
      <c r="I88" s="14" t="s">
        <v>10</v>
      </c>
      <c r="J88" s="15" t="s">
        <v>11</v>
      </c>
      <c r="K88" s="16" t="s">
        <v>10</v>
      </c>
      <c r="L88" s="12" t="s">
        <v>1</v>
      </c>
      <c r="M88" s="17"/>
    </row>
    <row r="89" spans="1:13">
      <c r="A89" s="24" t="s">
        <v>787</v>
      </c>
      <c r="B89" s="23" t="s">
        <v>246</v>
      </c>
      <c r="C89" s="26" t="s">
        <v>247</v>
      </c>
      <c r="D89" s="25" t="s">
        <v>143</v>
      </c>
      <c r="E89" s="25" t="s">
        <v>40</v>
      </c>
      <c r="F89" s="25" t="s">
        <v>12</v>
      </c>
      <c r="G89" s="25" t="s">
        <v>48</v>
      </c>
      <c r="H89" s="21" t="s">
        <v>11</v>
      </c>
      <c r="I89" s="14" t="s">
        <v>11</v>
      </c>
      <c r="J89" s="15" t="s">
        <v>11</v>
      </c>
      <c r="K89" s="22" t="s">
        <v>11</v>
      </c>
      <c r="L89" s="12" t="s">
        <v>1</v>
      </c>
      <c r="M89" s="17"/>
    </row>
    <row r="90" spans="1:13">
      <c r="A90" s="24" t="s">
        <v>250</v>
      </c>
      <c r="B90" s="23" t="s">
        <v>248</v>
      </c>
      <c r="C90" s="10" t="s">
        <v>249</v>
      </c>
      <c r="D90" s="25" t="s">
        <v>65</v>
      </c>
      <c r="E90" s="25" t="s">
        <v>40</v>
      </c>
      <c r="F90" s="25" t="s">
        <v>66</v>
      </c>
      <c r="G90" s="25" t="s">
        <v>48</v>
      </c>
      <c r="H90" s="13" t="s">
        <v>10</v>
      </c>
      <c r="I90" s="14" t="s">
        <v>10</v>
      </c>
      <c r="J90" s="15" t="s">
        <v>10</v>
      </c>
      <c r="K90" s="22" t="s">
        <v>10</v>
      </c>
      <c r="L90" s="12" t="s">
        <v>1</v>
      </c>
      <c r="M90" s="17"/>
    </row>
    <row r="91" spans="1:13">
      <c r="A91" s="11" t="s">
        <v>788</v>
      </c>
      <c r="B91" s="19" t="s">
        <v>251</v>
      </c>
      <c r="C91" s="20" t="s">
        <v>252</v>
      </c>
      <c r="D91" s="12" t="s">
        <v>39</v>
      </c>
      <c r="E91" s="12" t="s">
        <v>40</v>
      </c>
      <c r="F91" s="12" t="s">
        <v>41</v>
      </c>
      <c r="G91" s="12" t="s">
        <v>48</v>
      </c>
      <c r="H91" s="21" t="s">
        <v>11</v>
      </c>
      <c r="I91" s="14" t="s">
        <v>11</v>
      </c>
      <c r="J91" s="15" t="s">
        <v>11</v>
      </c>
      <c r="K91" s="22" t="s">
        <v>11</v>
      </c>
      <c r="L91" s="12" t="s">
        <v>1</v>
      </c>
      <c r="M91" s="17"/>
    </row>
    <row r="92" spans="1:13">
      <c r="A92" s="11" t="s">
        <v>789</v>
      </c>
      <c r="B92" s="19" t="s">
        <v>253</v>
      </c>
      <c r="C92" s="10" t="s">
        <v>254</v>
      </c>
      <c r="D92" s="12" t="s">
        <v>255</v>
      </c>
      <c r="E92" s="12" t="s">
        <v>40</v>
      </c>
      <c r="F92" s="12" t="s">
        <v>59</v>
      </c>
      <c r="G92" s="12" t="s">
        <v>48</v>
      </c>
      <c r="H92" s="13" t="s">
        <v>10</v>
      </c>
      <c r="I92" s="14" t="s">
        <v>10</v>
      </c>
      <c r="J92" s="15" t="s">
        <v>10</v>
      </c>
      <c r="K92" s="16" t="s">
        <v>9</v>
      </c>
      <c r="L92" s="12" t="s">
        <v>1</v>
      </c>
      <c r="M92" s="17"/>
    </row>
    <row r="93" spans="1:13">
      <c r="A93" s="11" t="s">
        <v>259</v>
      </c>
      <c r="B93" s="19" t="s">
        <v>256</v>
      </c>
      <c r="C93" s="10" t="s">
        <v>257</v>
      </c>
      <c r="D93" s="12" t="s">
        <v>65</v>
      </c>
      <c r="E93" s="12" t="s">
        <v>40</v>
      </c>
      <c r="F93" s="12" t="s">
        <v>84</v>
      </c>
      <c r="G93" s="12" t="s">
        <v>42</v>
      </c>
      <c r="H93" s="21" t="s">
        <v>9</v>
      </c>
      <c r="I93" s="29" t="s">
        <v>9</v>
      </c>
      <c r="J93" s="30" t="s">
        <v>9</v>
      </c>
      <c r="K93" s="16" t="s">
        <v>9</v>
      </c>
      <c r="L93" s="12" t="s">
        <v>1</v>
      </c>
      <c r="M93" s="17"/>
    </row>
    <row r="94" spans="1:13">
      <c r="A94" s="24" t="s">
        <v>259</v>
      </c>
      <c r="B94" s="23" t="s">
        <v>256</v>
      </c>
      <c r="C94" s="10" t="s">
        <v>258</v>
      </c>
      <c r="D94" s="25" t="s">
        <v>65</v>
      </c>
      <c r="E94" s="25" t="s">
        <v>40</v>
      </c>
      <c r="F94" s="25" t="s">
        <v>84</v>
      </c>
      <c r="G94" s="25" t="s">
        <v>42</v>
      </c>
      <c r="H94" s="13" t="s">
        <v>10</v>
      </c>
      <c r="I94" s="14" t="s">
        <v>10</v>
      </c>
      <c r="J94" s="15" t="s">
        <v>10</v>
      </c>
      <c r="K94" s="22" t="s">
        <v>10</v>
      </c>
      <c r="L94" s="12" t="s">
        <v>1</v>
      </c>
      <c r="M94" s="17"/>
    </row>
    <row r="95" spans="1:13">
      <c r="A95" s="11" t="s">
        <v>790</v>
      </c>
      <c r="B95" s="19" t="s">
        <v>261</v>
      </c>
      <c r="C95" s="10" t="s">
        <v>262</v>
      </c>
      <c r="D95" s="12" t="s">
        <v>65</v>
      </c>
      <c r="E95" s="12" t="s">
        <v>53</v>
      </c>
      <c r="F95" s="12" t="s">
        <v>84</v>
      </c>
      <c r="G95" s="12" t="s">
        <v>42</v>
      </c>
      <c r="H95" s="21" t="s">
        <v>11</v>
      </c>
      <c r="I95" s="14" t="s">
        <v>11</v>
      </c>
      <c r="J95" s="15" t="s">
        <v>11</v>
      </c>
      <c r="K95" s="22" t="s">
        <v>11</v>
      </c>
      <c r="L95" s="12" t="s">
        <v>1</v>
      </c>
      <c r="M95" s="17"/>
    </row>
    <row r="96" spans="1:13">
      <c r="A96" s="11" t="s">
        <v>791</v>
      </c>
      <c r="B96" s="19" t="s">
        <v>263</v>
      </c>
      <c r="C96" s="10" t="s">
        <v>264</v>
      </c>
      <c r="D96" s="12" t="s">
        <v>65</v>
      </c>
      <c r="E96" s="12" t="s">
        <v>40</v>
      </c>
      <c r="F96" s="12" t="s">
        <v>84</v>
      </c>
      <c r="G96" s="12" t="s">
        <v>42</v>
      </c>
      <c r="H96" s="21" t="s">
        <v>9</v>
      </c>
      <c r="I96" s="14" t="s">
        <v>9</v>
      </c>
      <c r="J96" s="15" t="s">
        <v>9</v>
      </c>
      <c r="K96" s="22" t="s">
        <v>10</v>
      </c>
      <c r="L96" s="12" t="s">
        <v>1</v>
      </c>
      <c r="M96" s="17"/>
    </row>
    <row r="97" spans="1:13">
      <c r="A97" s="11" t="s">
        <v>792</v>
      </c>
      <c r="B97" s="19" t="s">
        <v>14</v>
      </c>
      <c r="C97" s="10" t="s">
        <v>265</v>
      </c>
      <c r="D97" s="12" t="s">
        <v>65</v>
      </c>
      <c r="E97" s="12" t="s">
        <v>40</v>
      </c>
      <c r="F97" s="12" t="s">
        <v>84</v>
      </c>
      <c r="G97" s="12" t="s">
        <v>42</v>
      </c>
      <c r="H97" s="21" t="s">
        <v>9</v>
      </c>
      <c r="I97" s="29" t="s">
        <v>9</v>
      </c>
      <c r="J97" s="30" t="s">
        <v>9</v>
      </c>
      <c r="K97" s="16" t="s">
        <v>9</v>
      </c>
      <c r="L97" s="12" t="s">
        <v>1</v>
      </c>
      <c r="M97" s="17"/>
    </row>
    <row r="98" spans="1:13" ht="29">
      <c r="A98" s="24" t="s">
        <v>266</v>
      </c>
      <c r="B98" s="19" t="s">
        <v>14</v>
      </c>
      <c r="C98" s="10" t="s">
        <v>265</v>
      </c>
      <c r="D98" s="12" t="s">
        <v>65</v>
      </c>
      <c r="E98" s="12" t="s">
        <v>40</v>
      </c>
      <c r="F98" s="12" t="s">
        <v>84</v>
      </c>
      <c r="G98" s="12" t="s">
        <v>42</v>
      </c>
      <c r="H98" s="21" t="s">
        <v>9</v>
      </c>
      <c r="I98" s="29" t="s">
        <v>9</v>
      </c>
      <c r="J98" s="30" t="s">
        <v>9</v>
      </c>
      <c r="K98" s="16" t="s">
        <v>9</v>
      </c>
      <c r="L98" s="12" t="s">
        <v>1</v>
      </c>
      <c r="M98" s="17"/>
    </row>
    <row r="99" spans="1:13">
      <c r="A99" s="11" t="s">
        <v>268</v>
      </c>
      <c r="B99" s="19" t="s">
        <v>267</v>
      </c>
      <c r="C99" s="10" t="s">
        <v>268</v>
      </c>
      <c r="D99" s="12" t="s">
        <v>65</v>
      </c>
      <c r="E99" s="12" t="s">
        <v>40</v>
      </c>
      <c r="F99" s="12" t="s">
        <v>84</v>
      </c>
      <c r="G99" s="12" t="s">
        <v>42</v>
      </c>
      <c r="H99" s="21" t="s">
        <v>9</v>
      </c>
      <c r="I99" s="29" t="s">
        <v>9</v>
      </c>
      <c r="J99" s="30" t="s">
        <v>9</v>
      </c>
      <c r="K99" s="16" t="s">
        <v>9</v>
      </c>
      <c r="L99" s="12" t="s">
        <v>1</v>
      </c>
      <c r="M99" s="17"/>
    </row>
    <row r="100" spans="1:13" ht="29">
      <c r="A100" s="11" t="s">
        <v>793</v>
      </c>
      <c r="B100" s="19" t="s">
        <v>269</v>
      </c>
      <c r="C100" s="20" t="s">
        <v>270</v>
      </c>
      <c r="D100" s="12" t="s">
        <v>39</v>
      </c>
      <c r="E100" s="12" t="s">
        <v>40</v>
      </c>
      <c r="F100" s="12" t="s">
        <v>41</v>
      </c>
      <c r="G100" s="12" t="s">
        <v>48</v>
      </c>
      <c r="H100" s="21" t="s">
        <v>11</v>
      </c>
      <c r="I100" s="14" t="s">
        <v>11</v>
      </c>
      <c r="J100" s="15" t="s">
        <v>11</v>
      </c>
      <c r="K100" s="22" t="s">
        <v>11</v>
      </c>
      <c r="L100" s="12" t="s">
        <v>1</v>
      </c>
      <c r="M100" s="17"/>
    </row>
    <row r="101" spans="1:13">
      <c r="A101" s="28" t="s">
        <v>273</v>
      </c>
      <c r="B101" s="23" t="s">
        <v>271</v>
      </c>
      <c r="C101" s="27" t="s">
        <v>272</v>
      </c>
      <c r="D101" s="25" t="s">
        <v>274</v>
      </c>
      <c r="E101" s="25" t="s">
        <v>53</v>
      </c>
      <c r="F101" s="25" t="s">
        <v>12</v>
      </c>
      <c r="G101" s="25" t="s">
        <v>42</v>
      </c>
      <c r="H101" s="13" t="s">
        <v>11</v>
      </c>
      <c r="I101" s="14" t="s">
        <v>11</v>
      </c>
      <c r="J101" s="15" t="s">
        <v>11</v>
      </c>
      <c r="K101" s="22" t="s">
        <v>11</v>
      </c>
      <c r="L101" s="12" t="s">
        <v>1</v>
      </c>
      <c r="M101" s="17"/>
    </row>
    <row r="102" spans="1:13">
      <c r="A102" s="11" t="s">
        <v>794</v>
      </c>
      <c r="B102" s="19" t="s">
        <v>275</v>
      </c>
      <c r="C102" s="10" t="s">
        <v>276</v>
      </c>
      <c r="D102" s="12" t="s">
        <v>65</v>
      </c>
      <c r="E102" s="12" t="s">
        <v>53</v>
      </c>
      <c r="F102" s="12" t="s">
        <v>66</v>
      </c>
      <c r="G102" s="12" t="s">
        <v>42</v>
      </c>
      <c r="H102" s="21" t="s">
        <v>10</v>
      </c>
      <c r="I102" s="14" t="s">
        <v>10</v>
      </c>
      <c r="J102" s="15" t="s">
        <v>10</v>
      </c>
      <c r="K102" s="22" t="s">
        <v>10</v>
      </c>
      <c r="L102" s="12" t="s">
        <v>1</v>
      </c>
      <c r="M102" s="17"/>
    </row>
    <row r="103" spans="1:13">
      <c r="A103" s="11" t="s">
        <v>795</v>
      </c>
      <c r="B103" s="19" t="s">
        <v>277</v>
      </c>
      <c r="C103" s="10" t="s">
        <v>278</v>
      </c>
      <c r="D103" s="12" t="s">
        <v>65</v>
      </c>
      <c r="E103" s="12" t="s">
        <v>40</v>
      </c>
      <c r="F103" s="12" t="s">
        <v>84</v>
      </c>
      <c r="G103" s="12" t="s">
        <v>42</v>
      </c>
      <c r="H103" s="21" t="s">
        <v>9</v>
      </c>
      <c r="I103" s="14" t="s">
        <v>9</v>
      </c>
      <c r="J103" s="15" t="s">
        <v>10</v>
      </c>
      <c r="K103" s="22" t="s">
        <v>10</v>
      </c>
      <c r="L103" s="12" t="s">
        <v>1</v>
      </c>
      <c r="M103" s="17"/>
    </row>
    <row r="104" spans="1:13">
      <c r="A104" s="11" t="s">
        <v>796</v>
      </c>
      <c r="B104" s="19" t="s">
        <v>279</v>
      </c>
      <c r="C104" s="10" t="s">
        <v>280</v>
      </c>
      <c r="D104" s="12" t="s">
        <v>65</v>
      </c>
      <c r="E104" s="12" t="s">
        <v>40</v>
      </c>
      <c r="F104" s="12" t="s">
        <v>66</v>
      </c>
      <c r="G104" s="12" t="s">
        <v>42</v>
      </c>
      <c r="H104" s="21" t="s">
        <v>10</v>
      </c>
      <c r="I104" s="29" t="s">
        <v>10</v>
      </c>
      <c r="J104" s="30" t="s">
        <v>10</v>
      </c>
      <c r="K104" s="16" t="s">
        <v>10</v>
      </c>
      <c r="L104" s="12" t="s">
        <v>1</v>
      </c>
      <c r="M104" s="17"/>
    </row>
    <row r="105" spans="1:13">
      <c r="A105" s="11" t="s">
        <v>797</v>
      </c>
      <c r="B105" s="19" t="s">
        <v>281</v>
      </c>
      <c r="C105" s="10" t="s">
        <v>282</v>
      </c>
      <c r="D105" s="12" t="s">
        <v>65</v>
      </c>
      <c r="E105" s="12" t="s">
        <v>40</v>
      </c>
      <c r="F105" s="12" t="s">
        <v>66</v>
      </c>
      <c r="G105" s="12" t="s">
        <v>48</v>
      </c>
      <c r="H105" s="21" t="s">
        <v>9</v>
      </c>
      <c r="I105" s="29" t="s">
        <v>10</v>
      </c>
      <c r="J105" s="30" t="s">
        <v>10</v>
      </c>
      <c r="K105" s="16" t="s">
        <v>9</v>
      </c>
      <c r="L105" s="12" t="s">
        <v>1</v>
      </c>
      <c r="M105" s="17"/>
    </row>
    <row r="106" spans="1:13">
      <c r="A106" s="24" t="s">
        <v>798</v>
      </c>
      <c r="B106" s="23" t="s">
        <v>283</v>
      </c>
      <c r="C106" s="26" t="s">
        <v>284</v>
      </c>
      <c r="D106" s="25" t="s">
        <v>143</v>
      </c>
      <c r="E106" s="25" t="s">
        <v>40</v>
      </c>
      <c r="F106" s="25" t="s">
        <v>12</v>
      </c>
      <c r="G106" s="25" t="s">
        <v>48</v>
      </c>
      <c r="H106" s="21" t="s">
        <v>11</v>
      </c>
      <c r="I106" s="14" t="s">
        <v>10</v>
      </c>
      <c r="J106" s="15" t="s">
        <v>11</v>
      </c>
      <c r="K106" s="22" t="s">
        <v>10</v>
      </c>
      <c r="L106" s="12" t="s">
        <v>1</v>
      </c>
      <c r="M106" s="17"/>
    </row>
    <row r="107" spans="1:13">
      <c r="A107" s="11" t="s">
        <v>799</v>
      </c>
      <c r="B107" s="19" t="s">
        <v>285</v>
      </c>
      <c r="C107" s="10" t="s">
        <v>286</v>
      </c>
      <c r="D107" s="12" t="s">
        <v>287</v>
      </c>
      <c r="E107" s="12" t="s">
        <v>40</v>
      </c>
      <c r="F107" s="12" t="s">
        <v>59</v>
      </c>
      <c r="G107" s="12" t="s">
        <v>35</v>
      </c>
      <c r="H107" s="13" t="s">
        <v>11</v>
      </c>
      <c r="I107" s="14" t="s">
        <v>9</v>
      </c>
      <c r="J107" s="15" t="s">
        <v>11</v>
      </c>
      <c r="K107" s="16" t="s">
        <v>9</v>
      </c>
      <c r="L107" s="12" t="s">
        <v>1</v>
      </c>
      <c r="M107" s="17"/>
    </row>
    <row r="108" spans="1:13">
      <c r="A108" s="11" t="s">
        <v>800</v>
      </c>
      <c r="B108" s="19" t="s">
        <v>288</v>
      </c>
      <c r="C108" s="10" t="s">
        <v>289</v>
      </c>
      <c r="D108" s="12" t="s">
        <v>65</v>
      </c>
      <c r="E108" s="12" t="s">
        <v>53</v>
      </c>
      <c r="F108" s="12" t="s">
        <v>66</v>
      </c>
      <c r="G108" s="12" t="s">
        <v>42</v>
      </c>
      <c r="H108" s="21" t="s">
        <v>11</v>
      </c>
      <c r="I108" s="29" t="s">
        <v>11</v>
      </c>
      <c r="J108" s="30" t="s">
        <v>11</v>
      </c>
      <c r="K108" s="16" t="s">
        <v>11</v>
      </c>
      <c r="L108" s="12" t="s">
        <v>1</v>
      </c>
      <c r="M108" s="17"/>
    </row>
    <row r="109" spans="1:13">
      <c r="A109" s="24" t="s">
        <v>292</v>
      </c>
      <c r="B109" s="23" t="s">
        <v>290</v>
      </c>
      <c r="C109" s="10" t="s">
        <v>291</v>
      </c>
      <c r="D109" s="25" t="s">
        <v>65</v>
      </c>
      <c r="E109" s="25" t="s">
        <v>40</v>
      </c>
      <c r="F109" s="25" t="s">
        <v>66</v>
      </c>
      <c r="G109" s="25" t="s">
        <v>48</v>
      </c>
      <c r="H109" s="13" t="s">
        <v>9</v>
      </c>
      <c r="I109" s="14" t="s">
        <v>9</v>
      </c>
      <c r="J109" s="15" t="s">
        <v>10</v>
      </c>
      <c r="K109" s="22" t="s">
        <v>10</v>
      </c>
      <c r="L109" s="12" t="s">
        <v>1</v>
      </c>
      <c r="M109" s="17"/>
    </row>
    <row r="110" spans="1:13">
      <c r="A110" s="11" t="s">
        <v>801</v>
      </c>
      <c r="B110" s="19" t="s">
        <v>293</v>
      </c>
      <c r="C110" s="10" t="s">
        <v>294</v>
      </c>
      <c r="D110" s="12" t="s">
        <v>295</v>
      </c>
      <c r="E110" s="12" t="s">
        <v>40</v>
      </c>
      <c r="F110" s="12" t="s">
        <v>59</v>
      </c>
      <c r="G110" s="12" t="s">
        <v>35</v>
      </c>
      <c r="H110" s="13" t="s">
        <v>10</v>
      </c>
      <c r="I110" s="14" t="s">
        <v>9</v>
      </c>
      <c r="J110" s="15" t="s">
        <v>10</v>
      </c>
      <c r="K110" s="16" t="s">
        <v>9</v>
      </c>
      <c r="L110" s="12" t="s">
        <v>1</v>
      </c>
      <c r="M110" s="17"/>
    </row>
    <row r="111" spans="1:13">
      <c r="A111" s="11" t="s">
        <v>802</v>
      </c>
      <c r="B111" s="19" t="s">
        <v>296</v>
      </c>
      <c r="C111" s="10" t="s">
        <v>297</v>
      </c>
      <c r="D111" s="12" t="s">
        <v>65</v>
      </c>
      <c r="E111" s="12" t="s">
        <v>40</v>
      </c>
      <c r="F111" s="12" t="s">
        <v>66</v>
      </c>
      <c r="G111" s="12" t="s">
        <v>42</v>
      </c>
      <c r="H111" s="13" t="s">
        <v>11</v>
      </c>
      <c r="I111" s="14" t="s">
        <v>11</v>
      </c>
      <c r="J111" s="15" t="s">
        <v>11</v>
      </c>
      <c r="K111" s="22" t="s">
        <v>11</v>
      </c>
      <c r="L111" s="12" t="s">
        <v>1</v>
      </c>
      <c r="M111" s="17"/>
    </row>
    <row r="112" spans="1:13">
      <c r="A112" s="11" t="s">
        <v>803</v>
      </c>
      <c r="B112" s="19" t="s">
        <v>298</v>
      </c>
      <c r="C112" s="10" t="s">
        <v>299</v>
      </c>
      <c r="D112" s="12" t="s">
        <v>65</v>
      </c>
      <c r="E112" s="12" t="s">
        <v>53</v>
      </c>
      <c r="F112" s="12" t="s">
        <v>66</v>
      </c>
      <c r="G112" s="12" t="s">
        <v>42</v>
      </c>
      <c r="H112" s="21" t="s">
        <v>10</v>
      </c>
      <c r="I112" s="29" t="s">
        <v>10</v>
      </c>
      <c r="J112" s="30" t="s">
        <v>10</v>
      </c>
      <c r="K112" s="16" t="s">
        <v>10</v>
      </c>
      <c r="L112" s="12" t="s">
        <v>1</v>
      </c>
      <c r="M112" s="17"/>
    </row>
    <row r="113" spans="1:13">
      <c r="A113" s="11" t="s">
        <v>804</v>
      </c>
      <c r="B113" s="19" t="s">
        <v>300</v>
      </c>
      <c r="C113" s="10" t="s">
        <v>301</v>
      </c>
      <c r="D113" s="25" t="s">
        <v>302</v>
      </c>
      <c r="E113" s="12" t="s">
        <v>40</v>
      </c>
      <c r="F113" s="12" t="s">
        <v>59</v>
      </c>
      <c r="G113" s="12" t="s">
        <v>48</v>
      </c>
      <c r="H113" s="21" t="s">
        <v>11</v>
      </c>
      <c r="I113" s="29" t="s">
        <v>9</v>
      </c>
      <c r="J113" s="30" t="s">
        <v>11</v>
      </c>
      <c r="K113" s="16" t="s">
        <v>9</v>
      </c>
      <c r="L113" s="12" t="s">
        <v>1</v>
      </c>
      <c r="M113" s="17"/>
    </row>
    <row r="114" spans="1:13">
      <c r="A114" s="24" t="s">
        <v>805</v>
      </c>
      <c r="B114" s="23" t="s">
        <v>303</v>
      </c>
      <c r="C114" s="26" t="s">
        <v>304</v>
      </c>
      <c r="D114" s="25" t="s">
        <v>137</v>
      </c>
      <c r="E114" s="25" t="s">
        <v>40</v>
      </c>
      <c r="F114" s="25" t="s">
        <v>12</v>
      </c>
      <c r="G114" s="25" t="s">
        <v>36</v>
      </c>
      <c r="H114" s="21" t="s">
        <v>11</v>
      </c>
      <c r="I114" s="14" t="s">
        <v>11</v>
      </c>
      <c r="J114" s="15" t="s">
        <v>11</v>
      </c>
      <c r="K114" s="22" t="s">
        <v>11</v>
      </c>
      <c r="L114" s="12" t="s">
        <v>1</v>
      </c>
      <c r="M114" s="17" t="s">
        <v>305</v>
      </c>
    </row>
    <row r="115" spans="1:13" ht="28.9" customHeight="1">
      <c r="A115" s="11" t="s">
        <v>806</v>
      </c>
      <c r="B115" s="19" t="s">
        <v>306</v>
      </c>
      <c r="C115" s="10" t="s">
        <v>307</v>
      </c>
      <c r="D115" s="12" t="s">
        <v>255</v>
      </c>
      <c r="E115" s="12" t="s">
        <v>40</v>
      </c>
      <c r="F115" s="12" t="s">
        <v>59</v>
      </c>
      <c r="G115" s="12" t="s">
        <v>48</v>
      </c>
      <c r="H115" s="13" t="s">
        <v>10</v>
      </c>
      <c r="I115" s="14" t="s">
        <v>10</v>
      </c>
      <c r="J115" s="15" t="s">
        <v>10</v>
      </c>
      <c r="K115" s="16" t="s">
        <v>10</v>
      </c>
      <c r="L115" s="12" t="s">
        <v>1</v>
      </c>
      <c r="M115" s="17"/>
    </row>
    <row r="116" spans="1:13">
      <c r="A116" s="24" t="s">
        <v>807</v>
      </c>
      <c r="B116" s="23" t="s">
        <v>308</v>
      </c>
      <c r="C116" s="26" t="s">
        <v>309</v>
      </c>
      <c r="D116" s="25" t="s">
        <v>310</v>
      </c>
      <c r="E116" s="25" t="s">
        <v>53</v>
      </c>
      <c r="F116" s="25" t="s">
        <v>12</v>
      </c>
      <c r="G116" s="25" t="s">
        <v>42</v>
      </c>
      <c r="H116" s="21" t="s">
        <v>11</v>
      </c>
      <c r="I116" s="14" t="s">
        <v>10</v>
      </c>
      <c r="J116" s="15" t="s">
        <v>11</v>
      </c>
      <c r="K116" s="22" t="s">
        <v>10</v>
      </c>
      <c r="L116" s="12" t="s">
        <v>1</v>
      </c>
      <c r="M116" s="17"/>
    </row>
    <row r="117" spans="1:13">
      <c r="A117" s="11" t="s">
        <v>808</v>
      </c>
      <c r="B117" s="19" t="s">
        <v>311</v>
      </c>
      <c r="C117" s="10" t="s">
        <v>312</v>
      </c>
      <c r="D117" s="12" t="s">
        <v>313</v>
      </c>
      <c r="E117" s="12" t="s">
        <v>40</v>
      </c>
      <c r="F117" s="12" t="s">
        <v>59</v>
      </c>
      <c r="G117" s="12" t="s">
        <v>48</v>
      </c>
      <c r="H117" s="13" t="s">
        <v>10</v>
      </c>
      <c r="I117" s="14" t="s">
        <v>10</v>
      </c>
      <c r="J117" s="15" t="s">
        <v>10</v>
      </c>
      <c r="K117" s="16" t="s">
        <v>10</v>
      </c>
      <c r="L117" s="12" t="s">
        <v>1</v>
      </c>
      <c r="M117" s="17"/>
    </row>
    <row r="118" spans="1:13">
      <c r="A118" s="11" t="s">
        <v>809</v>
      </c>
      <c r="B118" s="19" t="s">
        <v>314</v>
      </c>
      <c r="C118" s="10" t="s">
        <v>315</v>
      </c>
      <c r="D118" s="12" t="s">
        <v>95</v>
      </c>
      <c r="E118" s="12" t="s">
        <v>40</v>
      </c>
      <c r="F118" s="12" t="s">
        <v>59</v>
      </c>
      <c r="G118" s="12" t="s">
        <v>42</v>
      </c>
      <c r="H118" s="13" t="s">
        <v>10</v>
      </c>
      <c r="I118" s="14" t="s">
        <v>9</v>
      </c>
      <c r="J118" s="15" t="s">
        <v>11</v>
      </c>
      <c r="K118" s="16" t="s">
        <v>9</v>
      </c>
      <c r="L118" s="12" t="s">
        <v>1</v>
      </c>
      <c r="M118" s="17"/>
    </row>
    <row r="119" spans="1:13">
      <c r="A119" s="24" t="s">
        <v>810</v>
      </c>
      <c r="B119" s="23" t="s">
        <v>316</v>
      </c>
      <c r="C119" s="26" t="s">
        <v>317</v>
      </c>
      <c r="D119" s="25" t="s">
        <v>137</v>
      </c>
      <c r="E119" s="25" t="s">
        <v>40</v>
      </c>
      <c r="F119" s="25" t="s">
        <v>12</v>
      </c>
      <c r="G119" s="25" t="s">
        <v>48</v>
      </c>
      <c r="H119" s="21" t="s">
        <v>11</v>
      </c>
      <c r="I119" s="14" t="s">
        <v>11</v>
      </c>
      <c r="J119" s="15" t="s">
        <v>11</v>
      </c>
      <c r="K119" s="16" t="s">
        <v>11</v>
      </c>
      <c r="L119" s="12" t="s">
        <v>1</v>
      </c>
      <c r="M119" s="17"/>
    </row>
    <row r="120" spans="1:13">
      <c r="A120" s="24" t="s">
        <v>811</v>
      </c>
      <c r="B120" s="23" t="s">
        <v>318</v>
      </c>
      <c r="C120" s="26" t="s">
        <v>319</v>
      </c>
      <c r="D120" s="25" t="s">
        <v>143</v>
      </c>
      <c r="E120" s="25" t="s">
        <v>53</v>
      </c>
      <c r="F120" s="25" t="s">
        <v>12</v>
      </c>
      <c r="G120" s="25" t="s">
        <v>48</v>
      </c>
      <c r="H120" s="21" t="s">
        <v>10</v>
      </c>
      <c r="I120" s="14" t="s">
        <v>9</v>
      </c>
      <c r="J120" s="15" t="s">
        <v>10</v>
      </c>
      <c r="K120" s="22" t="s">
        <v>9</v>
      </c>
      <c r="L120" s="12" t="s">
        <v>1</v>
      </c>
      <c r="M120" s="17" t="s">
        <v>320</v>
      </c>
    </row>
    <row r="121" spans="1:13">
      <c r="A121" s="11" t="s">
        <v>323</v>
      </c>
      <c r="B121" s="19" t="s">
        <v>321</v>
      </c>
      <c r="C121" s="10" t="s">
        <v>322</v>
      </c>
      <c r="D121" s="12" t="s">
        <v>65</v>
      </c>
      <c r="E121" s="12" t="s">
        <v>40</v>
      </c>
      <c r="F121" s="12" t="s">
        <v>66</v>
      </c>
      <c r="G121" s="12" t="s">
        <v>48</v>
      </c>
      <c r="H121" s="21" t="s">
        <v>9</v>
      </c>
      <c r="I121" s="29" t="s">
        <v>10</v>
      </c>
      <c r="J121" s="30" t="s">
        <v>9</v>
      </c>
      <c r="K121" s="16" t="s">
        <v>9</v>
      </c>
      <c r="L121" s="12" t="s">
        <v>1</v>
      </c>
      <c r="M121" s="17"/>
    </row>
    <row r="122" spans="1:13">
      <c r="A122" s="24" t="s">
        <v>326</v>
      </c>
      <c r="B122" s="23" t="s">
        <v>324</v>
      </c>
      <c r="C122" s="26" t="s">
        <v>325</v>
      </c>
      <c r="D122" s="25" t="s">
        <v>327</v>
      </c>
      <c r="E122" s="25" t="s">
        <v>40</v>
      </c>
      <c r="F122" s="25" t="s">
        <v>12</v>
      </c>
      <c r="G122" s="25" t="s">
        <v>48</v>
      </c>
      <c r="H122" s="21" t="s">
        <v>11</v>
      </c>
      <c r="I122" s="14" t="s">
        <v>11</v>
      </c>
      <c r="J122" s="15" t="s">
        <v>11</v>
      </c>
      <c r="K122" s="22" t="s">
        <v>11</v>
      </c>
      <c r="L122" s="12" t="s">
        <v>1</v>
      </c>
      <c r="M122" s="17"/>
    </row>
    <row r="123" spans="1:13">
      <c r="A123" s="11" t="s">
        <v>812</v>
      </c>
      <c r="B123" s="19" t="s">
        <v>328</v>
      </c>
      <c r="C123" s="20" t="s">
        <v>329</v>
      </c>
      <c r="D123" s="12" t="s">
        <v>39</v>
      </c>
      <c r="E123" s="12" t="s">
        <v>40</v>
      </c>
      <c r="F123" s="12" t="s">
        <v>41</v>
      </c>
      <c r="G123" s="12" t="s">
        <v>48</v>
      </c>
      <c r="H123" s="21" t="s">
        <v>11</v>
      </c>
      <c r="I123" s="14" t="s">
        <v>11</v>
      </c>
      <c r="J123" s="15" t="s">
        <v>11</v>
      </c>
      <c r="K123" s="22" t="s">
        <v>11</v>
      </c>
      <c r="L123" s="12" t="s">
        <v>1</v>
      </c>
      <c r="M123" s="17"/>
    </row>
    <row r="124" spans="1:13">
      <c r="A124" s="11" t="s">
        <v>813</v>
      </c>
      <c r="B124" s="19" t="s">
        <v>330</v>
      </c>
      <c r="C124" s="10" t="s">
        <v>331</v>
      </c>
      <c r="D124" s="12" t="s">
        <v>143</v>
      </c>
      <c r="E124" s="12" t="s">
        <v>40</v>
      </c>
      <c r="F124" s="12" t="s">
        <v>12</v>
      </c>
      <c r="G124" s="12" t="s">
        <v>48</v>
      </c>
      <c r="H124" s="13" t="s">
        <v>10</v>
      </c>
      <c r="I124" s="14" t="s">
        <v>10</v>
      </c>
      <c r="J124" s="15" t="s">
        <v>11</v>
      </c>
      <c r="K124" s="16" t="s">
        <v>10</v>
      </c>
      <c r="L124" s="12" t="s">
        <v>1</v>
      </c>
      <c r="M124" s="17"/>
    </row>
    <row r="125" spans="1:13">
      <c r="A125" s="24" t="s">
        <v>814</v>
      </c>
      <c r="B125" s="23" t="s">
        <v>332</v>
      </c>
      <c r="C125" s="26" t="s">
        <v>333</v>
      </c>
      <c r="D125" s="25" t="s">
        <v>39</v>
      </c>
      <c r="E125" s="25" t="s">
        <v>53</v>
      </c>
      <c r="F125" s="25" t="s">
        <v>12</v>
      </c>
      <c r="G125" s="25" t="s">
        <v>48</v>
      </c>
      <c r="H125" s="21" t="s">
        <v>11</v>
      </c>
      <c r="I125" s="14" t="s">
        <v>11</v>
      </c>
      <c r="J125" s="15" t="s">
        <v>11</v>
      </c>
      <c r="K125" s="22" t="s">
        <v>11</v>
      </c>
      <c r="L125" s="12" t="s">
        <v>1</v>
      </c>
      <c r="M125" s="17" t="s">
        <v>138</v>
      </c>
    </row>
    <row r="126" spans="1:13">
      <c r="A126" s="24" t="s">
        <v>815</v>
      </c>
      <c r="B126" s="23" t="s">
        <v>334</v>
      </c>
      <c r="C126" s="26" t="s">
        <v>335</v>
      </c>
      <c r="D126" s="25" t="s">
        <v>137</v>
      </c>
      <c r="E126" s="25" t="s">
        <v>53</v>
      </c>
      <c r="F126" s="25" t="s">
        <v>12</v>
      </c>
      <c r="G126" s="25" t="s">
        <v>42</v>
      </c>
      <c r="H126" s="21" t="s">
        <v>11</v>
      </c>
      <c r="I126" s="14" t="s">
        <v>11</v>
      </c>
      <c r="J126" s="15" t="s">
        <v>11</v>
      </c>
      <c r="K126" s="22" t="s">
        <v>11</v>
      </c>
      <c r="L126" s="12" t="s">
        <v>1</v>
      </c>
      <c r="M126" s="17" t="s">
        <v>336</v>
      </c>
    </row>
    <row r="127" spans="1:13">
      <c r="A127" s="11" t="s">
        <v>816</v>
      </c>
      <c r="B127" s="19" t="s">
        <v>337</v>
      </c>
      <c r="C127" s="10" t="s">
        <v>338</v>
      </c>
      <c r="D127" s="12" t="s">
        <v>65</v>
      </c>
      <c r="E127" s="12" t="s">
        <v>40</v>
      </c>
      <c r="F127" s="12" t="s">
        <v>66</v>
      </c>
      <c r="G127" s="12" t="s">
        <v>42</v>
      </c>
      <c r="H127" s="21" t="s">
        <v>9</v>
      </c>
      <c r="I127" s="29" t="s">
        <v>9</v>
      </c>
      <c r="J127" s="30" t="s">
        <v>9</v>
      </c>
      <c r="K127" s="16" t="s">
        <v>9</v>
      </c>
      <c r="L127" s="12" t="s">
        <v>1</v>
      </c>
      <c r="M127" s="17" t="s">
        <v>176</v>
      </c>
    </row>
    <row r="128" spans="1:13">
      <c r="A128" s="24" t="s">
        <v>341</v>
      </c>
      <c r="B128" s="23" t="s">
        <v>339</v>
      </c>
      <c r="C128" s="31" t="s">
        <v>340</v>
      </c>
      <c r="D128" s="12" t="s">
        <v>117</v>
      </c>
      <c r="E128" s="12" t="s">
        <v>53</v>
      </c>
      <c r="F128" s="12" t="s">
        <v>12</v>
      </c>
      <c r="G128" s="12" t="s">
        <v>42</v>
      </c>
      <c r="H128" s="21" t="s">
        <v>9</v>
      </c>
      <c r="I128" s="29" t="s">
        <v>9</v>
      </c>
      <c r="J128" s="15" t="s">
        <v>10</v>
      </c>
      <c r="K128" s="16" t="s">
        <v>9</v>
      </c>
      <c r="L128" s="12" t="s">
        <v>1</v>
      </c>
      <c r="M128" s="17"/>
    </row>
    <row r="129" spans="1:18">
      <c r="A129" s="24" t="s">
        <v>817</v>
      </c>
      <c r="B129" s="23" t="s">
        <v>342</v>
      </c>
      <c r="C129" s="26" t="s">
        <v>343</v>
      </c>
      <c r="D129" s="25" t="s">
        <v>143</v>
      </c>
      <c r="E129" s="25"/>
      <c r="F129" s="25" t="s">
        <v>12</v>
      </c>
      <c r="G129" s="25" t="s">
        <v>42</v>
      </c>
      <c r="H129" s="21" t="s">
        <v>11</v>
      </c>
      <c r="I129" s="14" t="s">
        <v>10</v>
      </c>
      <c r="J129" s="15" t="s">
        <v>11</v>
      </c>
      <c r="K129" s="22" t="s">
        <v>9</v>
      </c>
      <c r="L129" s="12" t="s">
        <v>1</v>
      </c>
      <c r="M129" s="17"/>
    </row>
    <row r="130" spans="1:18">
      <c r="A130" s="11" t="s">
        <v>818</v>
      </c>
      <c r="B130" s="19" t="s">
        <v>344</v>
      </c>
      <c r="C130" s="10" t="s">
        <v>345</v>
      </c>
      <c r="D130" s="12" t="s">
        <v>143</v>
      </c>
      <c r="E130" s="12" t="s">
        <v>40</v>
      </c>
      <c r="F130" s="12" t="s">
        <v>12</v>
      </c>
      <c r="G130" s="12" t="s">
        <v>42</v>
      </c>
      <c r="H130" s="21" t="s">
        <v>9</v>
      </c>
      <c r="I130" s="29" t="s">
        <v>10</v>
      </c>
      <c r="J130" s="15" t="s">
        <v>11</v>
      </c>
      <c r="K130" s="16" t="s">
        <v>9</v>
      </c>
      <c r="L130" s="12" t="s">
        <v>1</v>
      </c>
      <c r="M130" s="17"/>
    </row>
    <row r="131" spans="1:18">
      <c r="A131" s="11" t="s">
        <v>819</v>
      </c>
      <c r="B131" s="19" t="s">
        <v>346</v>
      </c>
      <c r="C131" s="10" t="s">
        <v>347</v>
      </c>
      <c r="D131" s="12" t="s">
        <v>134</v>
      </c>
      <c r="E131" s="12" t="s">
        <v>40</v>
      </c>
      <c r="F131" s="12" t="s">
        <v>12</v>
      </c>
      <c r="G131" s="12" t="s">
        <v>42</v>
      </c>
      <c r="H131" s="21" t="s">
        <v>11</v>
      </c>
      <c r="I131" s="14" t="s">
        <v>10</v>
      </c>
      <c r="J131" s="15" t="s">
        <v>10</v>
      </c>
      <c r="K131" s="22" t="s">
        <v>10</v>
      </c>
      <c r="L131" s="12" t="s">
        <v>1</v>
      </c>
      <c r="M131" s="17"/>
    </row>
    <row r="132" spans="1:18">
      <c r="A132" s="11" t="s">
        <v>820</v>
      </c>
      <c r="B132" s="19" t="s">
        <v>348</v>
      </c>
      <c r="C132" s="20" t="s">
        <v>349</v>
      </c>
      <c r="D132" s="12" t="s">
        <v>39</v>
      </c>
      <c r="E132" s="12" t="s">
        <v>40</v>
      </c>
      <c r="F132" s="12" t="s">
        <v>41</v>
      </c>
      <c r="G132" s="12" t="s">
        <v>42</v>
      </c>
      <c r="H132" s="21" t="s">
        <v>10</v>
      </c>
      <c r="I132" s="29" t="s">
        <v>9</v>
      </c>
      <c r="J132" s="30" t="s">
        <v>10</v>
      </c>
      <c r="K132" s="16" t="s">
        <v>9</v>
      </c>
      <c r="L132" s="12" t="s">
        <v>1</v>
      </c>
      <c r="M132" s="17"/>
    </row>
    <row r="133" spans="1:18">
      <c r="A133" s="24" t="s">
        <v>821</v>
      </c>
      <c r="B133" s="23" t="s">
        <v>350</v>
      </c>
      <c r="C133" s="31" t="s">
        <v>351</v>
      </c>
      <c r="D133" s="25" t="s">
        <v>81</v>
      </c>
      <c r="E133" s="25" t="s">
        <v>53</v>
      </c>
      <c r="F133" s="25" t="s">
        <v>12</v>
      </c>
      <c r="G133" s="25" t="s">
        <v>42</v>
      </c>
      <c r="H133" s="13" t="s">
        <v>10</v>
      </c>
      <c r="I133" s="14" t="s">
        <v>9</v>
      </c>
      <c r="J133" s="15" t="s">
        <v>10</v>
      </c>
      <c r="K133" s="22" t="s">
        <v>9</v>
      </c>
      <c r="L133" s="12" t="s">
        <v>1</v>
      </c>
      <c r="M133" s="17"/>
    </row>
    <row r="134" spans="1:18">
      <c r="A134" s="24" t="s">
        <v>822</v>
      </c>
      <c r="B134" s="23" t="s">
        <v>352</v>
      </c>
      <c r="C134" s="26" t="s">
        <v>353</v>
      </c>
      <c r="D134" s="25" t="s">
        <v>149</v>
      </c>
      <c r="E134" s="25" t="s">
        <v>53</v>
      </c>
      <c r="F134" s="25" t="s">
        <v>12</v>
      </c>
      <c r="G134" s="25" t="s">
        <v>36</v>
      </c>
      <c r="H134" s="21" t="s">
        <v>11</v>
      </c>
      <c r="I134" s="14" t="s">
        <v>11</v>
      </c>
      <c r="J134" s="15" t="s">
        <v>11</v>
      </c>
      <c r="K134" s="22" t="s">
        <v>11</v>
      </c>
      <c r="L134" s="12" t="s">
        <v>1</v>
      </c>
      <c r="M134" s="17"/>
    </row>
    <row r="135" spans="1:18">
      <c r="A135" s="11" t="s">
        <v>823</v>
      </c>
      <c r="B135" s="19" t="s">
        <v>354</v>
      </c>
      <c r="C135" s="20" t="s">
        <v>355</v>
      </c>
      <c r="D135" s="12" t="s">
        <v>39</v>
      </c>
      <c r="E135" s="12" t="s">
        <v>40</v>
      </c>
      <c r="F135" s="12" t="s">
        <v>41</v>
      </c>
      <c r="G135" s="12" t="s">
        <v>48</v>
      </c>
      <c r="H135" s="21" t="s">
        <v>9</v>
      </c>
      <c r="I135" s="14" t="s">
        <v>9</v>
      </c>
      <c r="J135" s="15" t="s">
        <v>10</v>
      </c>
      <c r="K135" s="22" t="s">
        <v>9</v>
      </c>
      <c r="L135" s="12" t="s">
        <v>1</v>
      </c>
      <c r="M135" s="17"/>
    </row>
    <row r="136" spans="1:18">
      <c r="A136" s="28" t="s">
        <v>358</v>
      </c>
      <c r="B136" s="23" t="s">
        <v>356</v>
      </c>
      <c r="C136" s="27" t="s">
        <v>357</v>
      </c>
      <c r="D136" s="25" t="s">
        <v>39</v>
      </c>
      <c r="E136" s="25" t="s">
        <v>53</v>
      </c>
      <c r="F136" s="25" t="s">
        <v>41</v>
      </c>
      <c r="G136" s="25" t="s">
        <v>42</v>
      </c>
      <c r="H136" s="13" t="s">
        <v>9</v>
      </c>
      <c r="I136" s="14" t="s">
        <v>9</v>
      </c>
      <c r="J136" s="15" t="s">
        <v>10</v>
      </c>
      <c r="K136" s="22" t="s">
        <v>9</v>
      </c>
      <c r="L136" s="12" t="s">
        <v>1</v>
      </c>
      <c r="M136" s="17"/>
    </row>
    <row r="137" spans="1:18">
      <c r="A137" s="11" t="s">
        <v>824</v>
      </c>
      <c r="B137" s="19" t="s">
        <v>359</v>
      </c>
      <c r="C137" s="20" t="s">
        <v>360</v>
      </c>
      <c r="D137" s="12" t="s">
        <v>39</v>
      </c>
      <c r="E137" s="12" t="s">
        <v>53</v>
      </c>
      <c r="F137" s="12" t="s">
        <v>41</v>
      </c>
      <c r="G137" s="12" t="s">
        <v>42</v>
      </c>
      <c r="H137" s="21" t="s">
        <v>9</v>
      </c>
      <c r="I137" s="29" t="s">
        <v>9</v>
      </c>
      <c r="J137" s="30" t="s">
        <v>9</v>
      </c>
      <c r="K137" s="16" t="s">
        <v>9</v>
      </c>
      <c r="L137" s="12" t="s">
        <v>1</v>
      </c>
      <c r="M137" s="17"/>
    </row>
    <row r="138" spans="1:18">
      <c r="A138" s="11" t="s">
        <v>825</v>
      </c>
      <c r="B138" s="19" t="s">
        <v>361</v>
      </c>
      <c r="C138" s="20" t="s">
        <v>362</v>
      </c>
      <c r="D138" s="12" t="s">
        <v>39</v>
      </c>
      <c r="E138" s="12" t="s">
        <v>53</v>
      </c>
      <c r="F138" s="12" t="s">
        <v>41</v>
      </c>
      <c r="G138" s="12" t="s">
        <v>42</v>
      </c>
      <c r="H138" s="21" t="s">
        <v>9</v>
      </c>
      <c r="I138" s="29" t="s">
        <v>9</v>
      </c>
      <c r="J138" s="30" t="s">
        <v>9</v>
      </c>
      <c r="K138" s="16" t="s">
        <v>9</v>
      </c>
      <c r="L138" s="12" t="s">
        <v>1</v>
      </c>
      <c r="M138" s="17"/>
    </row>
    <row r="139" spans="1:18">
      <c r="A139" s="24" t="s">
        <v>365</v>
      </c>
      <c r="B139" s="23" t="s">
        <v>363</v>
      </c>
      <c r="C139" s="10" t="s">
        <v>364</v>
      </c>
      <c r="D139" s="25" t="s">
        <v>39</v>
      </c>
      <c r="E139" s="25" t="s">
        <v>40</v>
      </c>
      <c r="F139" s="25" t="s">
        <v>41</v>
      </c>
      <c r="G139" s="25" t="s">
        <v>48</v>
      </c>
      <c r="H139" s="13" t="s">
        <v>9</v>
      </c>
      <c r="I139" s="14" t="s">
        <v>9</v>
      </c>
      <c r="J139" s="15" t="s">
        <v>10</v>
      </c>
      <c r="K139" s="22" t="s">
        <v>9</v>
      </c>
      <c r="L139" s="12" t="s">
        <v>1</v>
      </c>
      <c r="M139" s="17"/>
    </row>
    <row r="140" spans="1:18">
      <c r="A140" s="11" t="s">
        <v>826</v>
      </c>
      <c r="B140" s="19" t="s">
        <v>366</v>
      </c>
      <c r="C140" s="20" t="s">
        <v>367</v>
      </c>
      <c r="D140" s="12" t="s">
        <v>39</v>
      </c>
      <c r="E140" s="12" t="s">
        <v>40</v>
      </c>
      <c r="F140" s="12" t="s">
        <v>41</v>
      </c>
      <c r="G140" s="12" t="s">
        <v>42</v>
      </c>
      <c r="H140" s="21" t="s">
        <v>10</v>
      </c>
      <c r="I140" s="29" t="s">
        <v>10</v>
      </c>
      <c r="J140" s="30" t="s">
        <v>10</v>
      </c>
      <c r="K140" s="16" t="s">
        <v>9</v>
      </c>
      <c r="L140" s="12" t="s">
        <v>1</v>
      </c>
      <c r="M140" s="17"/>
    </row>
    <row r="141" spans="1:18">
      <c r="A141" s="24" t="s">
        <v>370</v>
      </c>
      <c r="B141" s="23" t="s">
        <v>368</v>
      </c>
      <c r="C141" s="10" t="s">
        <v>369</v>
      </c>
      <c r="D141" s="25" t="s">
        <v>39</v>
      </c>
      <c r="E141" s="25" t="s">
        <v>40</v>
      </c>
      <c r="F141" s="25" t="s">
        <v>41</v>
      </c>
      <c r="G141" s="25" t="s">
        <v>48</v>
      </c>
      <c r="H141" s="13" t="s">
        <v>9</v>
      </c>
      <c r="I141" s="14" t="s">
        <v>9</v>
      </c>
      <c r="J141" s="15" t="s">
        <v>10</v>
      </c>
      <c r="K141" s="22" t="s">
        <v>9</v>
      </c>
      <c r="L141" s="12" t="s">
        <v>1</v>
      </c>
      <c r="M141" s="17"/>
    </row>
    <row r="142" spans="1:18">
      <c r="A142" s="24" t="s">
        <v>827</v>
      </c>
      <c r="B142" s="23" t="s">
        <v>371</v>
      </c>
      <c r="C142" s="31" t="s">
        <v>372</v>
      </c>
      <c r="D142" s="25" t="s">
        <v>143</v>
      </c>
      <c r="E142" s="25" t="s">
        <v>144</v>
      </c>
      <c r="F142" s="25" t="s">
        <v>12</v>
      </c>
      <c r="G142" s="25" t="s">
        <v>42</v>
      </c>
      <c r="H142" s="13" t="s">
        <v>10</v>
      </c>
      <c r="I142" s="14" t="s">
        <v>9</v>
      </c>
      <c r="J142" s="15" t="s">
        <v>10</v>
      </c>
      <c r="K142" s="22" t="s">
        <v>9</v>
      </c>
      <c r="L142" s="12" t="s">
        <v>1</v>
      </c>
      <c r="M142" s="17"/>
    </row>
    <row r="143" spans="1:18">
      <c r="A143" s="11" t="s">
        <v>828</v>
      </c>
      <c r="B143" s="19" t="s">
        <v>373</v>
      </c>
      <c r="C143" s="10" t="s">
        <v>374</v>
      </c>
      <c r="D143" s="12" t="s">
        <v>39</v>
      </c>
      <c r="E143" s="12" t="s">
        <v>40</v>
      </c>
      <c r="F143" s="12" t="s">
        <v>59</v>
      </c>
      <c r="G143" s="12" t="s">
        <v>48</v>
      </c>
      <c r="H143" s="13" t="s">
        <v>11</v>
      </c>
      <c r="I143" s="14" t="s">
        <v>11</v>
      </c>
      <c r="J143" s="15" t="s">
        <v>11</v>
      </c>
      <c r="K143" s="16" t="s">
        <v>10</v>
      </c>
      <c r="L143" s="12" t="s">
        <v>1</v>
      </c>
      <c r="M143" s="17"/>
      <c r="Q143" s="18" t="s">
        <v>1</v>
      </c>
      <c r="R143" s="18" t="s">
        <v>674</v>
      </c>
    </row>
    <row r="144" spans="1:18">
      <c r="A144" s="11" t="s">
        <v>829</v>
      </c>
      <c r="B144" s="19" t="s">
        <v>375</v>
      </c>
      <c r="C144" s="10" t="s">
        <v>376</v>
      </c>
      <c r="D144" s="12" t="s">
        <v>39</v>
      </c>
      <c r="E144" s="12" t="s">
        <v>40</v>
      </c>
      <c r="F144" s="12" t="s">
        <v>59</v>
      </c>
      <c r="G144" s="12" t="s">
        <v>48</v>
      </c>
      <c r="H144" s="13" t="s">
        <v>10</v>
      </c>
      <c r="I144" s="14" t="s">
        <v>9</v>
      </c>
      <c r="J144" s="15" t="s">
        <v>11</v>
      </c>
      <c r="K144" s="16" t="s">
        <v>9</v>
      </c>
      <c r="L144" s="12" t="s">
        <v>1</v>
      </c>
      <c r="M144" s="17"/>
      <c r="Q144" s="18" t="s">
        <v>2</v>
      </c>
      <c r="R144" s="18" t="s">
        <v>675</v>
      </c>
    </row>
    <row r="145" spans="1:18">
      <c r="A145" s="11" t="s">
        <v>830</v>
      </c>
      <c r="B145" s="19" t="s">
        <v>377</v>
      </c>
      <c r="C145" s="10" t="s">
        <v>378</v>
      </c>
      <c r="D145" s="12" t="s">
        <v>65</v>
      </c>
      <c r="E145" s="12" t="s">
        <v>40</v>
      </c>
      <c r="F145" s="12" t="s">
        <v>66</v>
      </c>
      <c r="G145" s="12" t="s">
        <v>48</v>
      </c>
      <c r="H145" s="21" t="s">
        <v>10</v>
      </c>
      <c r="I145" s="29" t="s">
        <v>10</v>
      </c>
      <c r="J145" s="30" t="s">
        <v>10</v>
      </c>
      <c r="K145" s="16" t="s">
        <v>10</v>
      </c>
      <c r="L145" s="12" t="s">
        <v>1</v>
      </c>
      <c r="M145" s="17"/>
      <c r="Q145" s="18" t="s">
        <v>3</v>
      </c>
      <c r="R145" s="18" t="s">
        <v>676</v>
      </c>
    </row>
    <row r="146" spans="1:18">
      <c r="A146" s="28" t="s">
        <v>381</v>
      </c>
      <c r="B146" s="23" t="s">
        <v>379</v>
      </c>
      <c r="C146" s="27" t="s">
        <v>380</v>
      </c>
      <c r="D146" s="25" t="s">
        <v>39</v>
      </c>
      <c r="E146" s="25" t="s">
        <v>53</v>
      </c>
      <c r="F146" s="25" t="s">
        <v>12</v>
      </c>
      <c r="G146" s="25" t="s">
        <v>42</v>
      </c>
      <c r="H146" s="13" t="s">
        <v>11</v>
      </c>
      <c r="I146" s="14" t="s">
        <v>11</v>
      </c>
      <c r="J146" s="15" t="s">
        <v>11</v>
      </c>
      <c r="K146" s="22" t="s">
        <v>11</v>
      </c>
      <c r="L146" s="12" t="s">
        <v>1</v>
      </c>
      <c r="M146" s="17" t="s">
        <v>382</v>
      </c>
      <c r="R146" s="18" t="s">
        <v>677</v>
      </c>
    </row>
    <row r="147" spans="1:18">
      <c r="A147" s="11" t="s">
        <v>831</v>
      </c>
      <c r="B147" s="19" t="s">
        <v>383</v>
      </c>
      <c r="C147" s="20" t="s">
        <v>384</v>
      </c>
      <c r="D147" s="12" t="s">
        <v>39</v>
      </c>
      <c r="E147" s="12" t="s">
        <v>40</v>
      </c>
      <c r="F147" s="12" t="s">
        <v>41</v>
      </c>
      <c r="G147" s="12" t="s">
        <v>42</v>
      </c>
      <c r="H147" s="21" t="s">
        <v>10</v>
      </c>
      <c r="I147" s="14" t="s">
        <v>10</v>
      </c>
      <c r="J147" s="15" t="s">
        <v>10</v>
      </c>
      <c r="K147" s="22" t="s">
        <v>10</v>
      </c>
      <c r="L147" s="12" t="s">
        <v>1</v>
      </c>
      <c r="M147" s="17"/>
      <c r="R147" s="18" t="s">
        <v>678</v>
      </c>
    </row>
    <row r="148" spans="1:18">
      <c r="A148" s="24" t="s">
        <v>832</v>
      </c>
      <c r="B148" s="19" t="s">
        <v>385</v>
      </c>
      <c r="C148" s="24" t="s">
        <v>386</v>
      </c>
      <c r="D148" s="12" t="s">
        <v>387</v>
      </c>
      <c r="E148" s="12" t="s">
        <v>144</v>
      </c>
      <c r="F148" s="12" t="s">
        <v>12</v>
      </c>
      <c r="G148" s="12" t="s">
        <v>36</v>
      </c>
      <c r="H148" s="13" t="s">
        <v>11</v>
      </c>
      <c r="I148" s="14" t="s">
        <v>11</v>
      </c>
      <c r="J148" s="15" t="s">
        <v>11</v>
      </c>
      <c r="K148" s="16" t="s">
        <v>11</v>
      </c>
      <c r="L148" s="12" t="s">
        <v>1</v>
      </c>
      <c r="M148" s="17"/>
    </row>
    <row r="149" spans="1:18">
      <c r="A149" s="11" t="s">
        <v>833</v>
      </c>
      <c r="B149" s="19" t="s">
        <v>388</v>
      </c>
      <c r="C149" s="10" t="s">
        <v>389</v>
      </c>
      <c r="D149" s="12" t="s">
        <v>65</v>
      </c>
      <c r="E149" s="12" t="s">
        <v>53</v>
      </c>
      <c r="F149" s="12" t="s">
        <v>66</v>
      </c>
      <c r="G149" s="12" t="s">
        <v>42</v>
      </c>
      <c r="H149" s="21" t="s">
        <v>9</v>
      </c>
      <c r="I149" s="29" t="s">
        <v>9</v>
      </c>
      <c r="J149" s="30" t="s">
        <v>9</v>
      </c>
      <c r="K149" s="16" t="s">
        <v>9</v>
      </c>
      <c r="L149" s="12" t="s">
        <v>1</v>
      </c>
      <c r="M149" s="17"/>
    </row>
    <row r="150" spans="1:18">
      <c r="A150" s="11" t="s">
        <v>834</v>
      </c>
      <c r="B150" s="19" t="s">
        <v>390</v>
      </c>
      <c r="C150" s="10" t="s">
        <v>391</v>
      </c>
      <c r="D150" s="12" t="s">
        <v>65</v>
      </c>
      <c r="E150" s="12" t="s">
        <v>40</v>
      </c>
      <c r="F150" s="12" t="s">
        <v>66</v>
      </c>
      <c r="G150" s="12" t="s">
        <v>42</v>
      </c>
      <c r="H150" s="21" t="s">
        <v>9</v>
      </c>
      <c r="I150" s="29" t="s">
        <v>9</v>
      </c>
      <c r="J150" s="30" t="s">
        <v>9</v>
      </c>
      <c r="K150" s="16" t="s">
        <v>9</v>
      </c>
      <c r="L150" s="12" t="s">
        <v>1</v>
      </c>
      <c r="M150" s="17"/>
    </row>
    <row r="151" spans="1:18">
      <c r="A151" s="24" t="s">
        <v>394</v>
      </c>
      <c r="B151" s="23" t="s">
        <v>392</v>
      </c>
      <c r="C151" s="20" t="s">
        <v>393</v>
      </c>
      <c r="D151" s="25" t="s">
        <v>65</v>
      </c>
      <c r="E151" s="25" t="s">
        <v>53</v>
      </c>
      <c r="F151" s="25" t="s">
        <v>66</v>
      </c>
      <c r="G151" s="25" t="s">
        <v>42</v>
      </c>
      <c r="H151" s="13" t="s">
        <v>9</v>
      </c>
      <c r="I151" s="14" t="s">
        <v>9</v>
      </c>
      <c r="J151" s="15" t="s">
        <v>9</v>
      </c>
      <c r="K151" s="22" t="s">
        <v>9</v>
      </c>
      <c r="L151" s="12" t="s">
        <v>1</v>
      </c>
      <c r="M151" s="17"/>
    </row>
    <row r="152" spans="1:18">
      <c r="A152" s="11" t="s">
        <v>835</v>
      </c>
      <c r="B152" s="19" t="s">
        <v>395</v>
      </c>
      <c r="C152" s="10" t="s">
        <v>396</v>
      </c>
      <c r="D152" s="12" t="s">
        <v>65</v>
      </c>
      <c r="E152" s="12" t="s">
        <v>53</v>
      </c>
      <c r="F152" s="12" t="s">
        <v>66</v>
      </c>
      <c r="G152" s="12" t="s">
        <v>42</v>
      </c>
      <c r="H152" s="21" t="s">
        <v>9</v>
      </c>
      <c r="I152" s="29" t="s">
        <v>9</v>
      </c>
      <c r="J152" s="30" t="s">
        <v>9</v>
      </c>
      <c r="K152" s="16" t="s">
        <v>9</v>
      </c>
      <c r="L152" s="12" t="s">
        <v>1</v>
      </c>
      <c r="M152" s="17"/>
    </row>
    <row r="153" spans="1:18">
      <c r="A153" s="11" t="s">
        <v>836</v>
      </c>
      <c r="B153" s="19" t="s">
        <v>397</v>
      </c>
      <c r="C153" s="10" t="s">
        <v>398</v>
      </c>
      <c r="D153" s="12" t="s">
        <v>65</v>
      </c>
      <c r="E153" s="12" t="s">
        <v>53</v>
      </c>
      <c r="F153" s="12" t="s">
        <v>66</v>
      </c>
      <c r="G153" s="12" t="s">
        <v>42</v>
      </c>
      <c r="H153" s="21" t="s">
        <v>9</v>
      </c>
      <c r="I153" s="14" t="s">
        <v>9</v>
      </c>
      <c r="J153" s="15" t="s">
        <v>9</v>
      </c>
      <c r="K153" s="22" t="s">
        <v>9</v>
      </c>
      <c r="L153" s="12" t="s">
        <v>1</v>
      </c>
      <c r="M153" s="17"/>
    </row>
    <row r="154" spans="1:18">
      <c r="A154" s="11" t="s">
        <v>400</v>
      </c>
      <c r="B154" s="19" t="s">
        <v>399</v>
      </c>
      <c r="C154" s="10" t="s">
        <v>400</v>
      </c>
      <c r="D154" s="12" t="s">
        <v>39</v>
      </c>
      <c r="E154" s="12" t="s">
        <v>40</v>
      </c>
      <c r="F154" s="12" t="s">
        <v>59</v>
      </c>
      <c r="G154" s="12" t="s">
        <v>42</v>
      </c>
      <c r="H154" s="13" t="s">
        <v>10</v>
      </c>
      <c r="I154" s="14" t="s">
        <v>9</v>
      </c>
      <c r="J154" s="15" t="s">
        <v>10</v>
      </c>
      <c r="K154" s="16" t="s">
        <v>9</v>
      </c>
      <c r="L154" s="12" t="s">
        <v>1</v>
      </c>
      <c r="M154" s="17"/>
    </row>
    <row r="155" spans="1:18" ht="29">
      <c r="A155" s="24" t="s">
        <v>837</v>
      </c>
      <c r="B155" s="23" t="s">
        <v>401</v>
      </c>
      <c r="C155" s="26" t="s">
        <v>402</v>
      </c>
      <c r="D155" s="25" t="s">
        <v>310</v>
      </c>
      <c r="E155" s="25" t="s">
        <v>53</v>
      </c>
      <c r="F155" s="25" t="s">
        <v>12</v>
      </c>
      <c r="G155" s="25" t="s">
        <v>42</v>
      </c>
      <c r="H155" s="21" t="s">
        <v>11</v>
      </c>
      <c r="I155" s="14" t="s">
        <v>11</v>
      </c>
      <c r="J155" s="15" t="s">
        <v>11</v>
      </c>
      <c r="K155" s="22" t="s">
        <v>11</v>
      </c>
      <c r="L155" s="12" t="s">
        <v>1</v>
      </c>
      <c r="M155" s="17"/>
    </row>
    <row r="156" spans="1:18">
      <c r="A156" s="11" t="s">
        <v>838</v>
      </c>
      <c r="B156" s="19" t="s">
        <v>403</v>
      </c>
      <c r="C156" s="10" t="s">
        <v>404</v>
      </c>
      <c r="D156" s="12" t="s">
        <v>91</v>
      </c>
      <c r="E156" s="12" t="s">
        <v>40</v>
      </c>
      <c r="F156" s="12" t="s">
        <v>92</v>
      </c>
      <c r="G156" s="12" t="s">
        <v>36</v>
      </c>
      <c r="H156" s="21" t="s">
        <v>9</v>
      </c>
      <c r="I156" s="29" t="s">
        <v>9</v>
      </c>
      <c r="J156" s="30" t="s">
        <v>10</v>
      </c>
      <c r="K156" s="16" t="s">
        <v>9</v>
      </c>
      <c r="L156" s="12" t="s">
        <v>1</v>
      </c>
      <c r="M156" s="17"/>
    </row>
    <row r="157" spans="1:18">
      <c r="A157" s="24" t="s">
        <v>839</v>
      </c>
      <c r="B157" s="23" t="s">
        <v>405</v>
      </c>
      <c r="C157" s="31" t="s">
        <v>406</v>
      </c>
      <c r="D157" s="25" t="s">
        <v>182</v>
      </c>
      <c r="E157" s="25" t="s">
        <v>40</v>
      </c>
      <c r="F157" s="25" t="s">
        <v>12</v>
      </c>
      <c r="G157" s="25" t="s">
        <v>42</v>
      </c>
      <c r="H157" s="13" t="s">
        <v>10</v>
      </c>
      <c r="I157" s="14" t="s">
        <v>9</v>
      </c>
      <c r="J157" s="15" t="s">
        <v>10</v>
      </c>
      <c r="K157" s="22" t="s">
        <v>10</v>
      </c>
      <c r="L157" s="12" t="s">
        <v>1</v>
      </c>
      <c r="M157" s="17"/>
    </row>
    <row r="158" spans="1:18">
      <c r="A158" s="11" t="s">
        <v>840</v>
      </c>
      <c r="B158" s="19" t="s">
        <v>407</v>
      </c>
      <c r="C158" s="10" t="s">
        <v>408</v>
      </c>
      <c r="D158" s="12" t="s">
        <v>65</v>
      </c>
      <c r="E158" s="12" t="s">
        <v>40</v>
      </c>
      <c r="F158" s="12" t="s">
        <v>66</v>
      </c>
      <c r="G158" s="12" t="s">
        <v>48</v>
      </c>
      <c r="H158" s="21" t="s">
        <v>11</v>
      </c>
      <c r="I158" s="29" t="s">
        <v>11</v>
      </c>
      <c r="J158" s="30" t="s">
        <v>11</v>
      </c>
      <c r="K158" s="16" t="s">
        <v>11</v>
      </c>
      <c r="L158" s="12" t="s">
        <v>1</v>
      </c>
      <c r="M158" s="17"/>
    </row>
    <row r="159" spans="1:18">
      <c r="A159" s="11" t="s">
        <v>841</v>
      </c>
      <c r="B159" s="19" t="s">
        <v>409</v>
      </c>
      <c r="C159" s="10" t="s">
        <v>410</v>
      </c>
      <c r="D159" s="12" t="s">
        <v>411</v>
      </c>
      <c r="E159" s="12" t="s">
        <v>40</v>
      </c>
      <c r="F159" s="12" t="s">
        <v>59</v>
      </c>
      <c r="G159" s="12" t="s">
        <v>42</v>
      </c>
      <c r="H159" s="13" t="s">
        <v>10</v>
      </c>
      <c r="I159" s="14" t="s">
        <v>9</v>
      </c>
      <c r="J159" s="15" t="s">
        <v>10</v>
      </c>
      <c r="K159" s="16" t="s">
        <v>9</v>
      </c>
      <c r="L159" s="12" t="s">
        <v>1</v>
      </c>
      <c r="M159" s="17"/>
    </row>
    <row r="160" spans="1:18">
      <c r="A160" s="24" t="s">
        <v>842</v>
      </c>
      <c r="B160" s="23" t="s">
        <v>412</v>
      </c>
      <c r="C160" s="27" t="s">
        <v>413</v>
      </c>
      <c r="D160" s="25" t="s">
        <v>117</v>
      </c>
      <c r="E160" s="25" t="s">
        <v>144</v>
      </c>
      <c r="F160" s="25" t="s">
        <v>12</v>
      </c>
      <c r="G160" s="25" t="s">
        <v>42</v>
      </c>
      <c r="H160" s="13" t="s">
        <v>10</v>
      </c>
      <c r="I160" s="29" t="s">
        <v>9</v>
      </c>
      <c r="J160" s="15" t="s">
        <v>10</v>
      </c>
      <c r="K160" s="16" t="s">
        <v>9</v>
      </c>
      <c r="L160" s="12" t="s">
        <v>1</v>
      </c>
      <c r="M160" s="17"/>
    </row>
    <row r="161" spans="1:14">
      <c r="A161" s="11" t="s">
        <v>843</v>
      </c>
      <c r="B161" s="19" t="s">
        <v>414</v>
      </c>
      <c r="C161" s="10" t="s">
        <v>415</v>
      </c>
      <c r="D161" s="12" t="s">
        <v>117</v>
      </c>
      <c r="E161" s="12" t="s">
        <v>144</v>
      </c>
      <c r="F161" s="12" t="s">
        <v>12</v>
      </c>
      <c r="G161" s="12" t="s">
        <v>42</v>
      </c>
      <c r="H161" s="13" t="s">
        <v>11</v>
      </c>
      <c r="I161" s="14" t="s">
        <v>10</v>
      </c>
      <c r="J161" s="15" t="s">
        <v>11</v>
      </c>
      <c r="K161" s="16" t="s">
        <v>10</v>
      </c>
      <c r="L161" s="12" t="s">
        <v>1</v>
      </c>
      <c r="M161" s="17"/>
    </row>
    <row r="162" spans="1:14">
      <c r="A162" s="24" t="s">
        <v>844</v>
      </c>
      <c r="B162" s="23" t="s">
        <v>416</v>
      </c>
      <c r="C162" s="31" t="s">
        <v>417</v>
      </c>
      <c r="D162" s="25" t="s">
        <v>117</v>
      </c>
      <c r="E162" s="25" t="s">
        <v>53</v>
      </c>
      <c r="F162" s="25" t="s">
        <v>12</v>
      </c>
      <c r="G162" s="25" t="s">
        <v>42</v>
      </c>
      <c r="H162" s="13" t="s">
        <v>10</v>
      </c>
      <c r="I162" s="14" t="s">
        <v>9</v>
      </c>
      <c r="J162" s="15" t="s">
        <v>10</v>
      </c>
      <c r="K162" s="16" t="s">
        <v>9</v>
      </c>
      <c r="L162" s="12" t="s">
        <v>1</v>
      </c>
      <c r="M162" s="17"/>
    </row>
    <row r="163" spans="1:14">
      <c r="A163" s="24" t="s">
        <v>845</v>
      </c>
      <c r="B163" s="23" t="s">
        <v>418</v>
      </c>
      <c r="C163" s="26" t="s">
        <v>419</v>
      </c>
      <c r="D163" s="25" t="s">
        <v>137</v>
      </c>
      <c r="E163" s="25" t="s">
        <v>40</v>
      </c>
      <c r="F163" s="25" t="s">
        <v>12</v>
      </c>
      <c r="G163" s="25" t="s">
        <v>36</v>
      </c>
      <c r="H163" s="21" t="s">
        <v>11</v>
      </c>
      <c r="I163" s="14" t="s">
        <v>11</v>
      </c>
      <c r="J163" s="15" t="s">
        <v>11</v>
      </c>
      <c r="K163" s="22" t="s">
        <v>11</v>
      </c>
      <c r="L163" s="12" t="s">
        <v>1</v>
      </c>
      <c r="M163" s="17"/>
    </row>
    <row r="164" spans="1:14">
      <c r="A164" s="11" t="s">
        <v>846</v>
      </c>
      <c r="B164" s="19" t="s">
        <v>420</v>
      </c>
      <c r="C164" s="10" t="s">
        <v>421</v>
      </c>
      <c r="D164" s="12" t="s">
        <v>65</v>
      </c>
      <c r="E164" s="12" t="s">
        <v>40</v>
      </c>
      <c r="F164" s="12" t="s">
        <v>66</v>
      </c>
      <c r="G164" s="12" t="s">
        <v>48</v>
      </c>
      <c r="H164" s="21" t="s">
        <v>11</v>
      </c>
      <c r="I164" s="29" t="s">
        <v>11</v>
      </c>
      <c r="J164" s="30" t="s">
        <v>11</v>
      </c>
      <c r="K164" s="16" t="s">
        <v>11</v>
      </c>
      <c r="L164" s="12" t="s">
        <v>1</v>
      </c>
      <c r="M164" s="17"/>
    </row>
    <row r="165" spans="1:14">
      <c r="A165" s="11" t="s">
        <v>13</v>
      </c>
      <c r="B165" s="19"/>
      <c r="C165" s="10"/>
      <c r="D165" s="12"/>
      <c r="E165" s="12"/>
      <c r="F165" s="12" t="s">
        <v>668</v>
      </c>
      <c r="G165" s="12"/>
      <c r="H165" s="21" t="s">
        <v>668</v>
      </c>
      <c r="I165" s="29"/>
      <c r="J165" s="30"/>
      <c r="K165" s="16"/>
      <c r="L165" s="12" t="s">
        <v>3</v>
      </c>
      <c r="M165" s="17"/>
      <c r="N165" s="74" t="s">
        <v>664</v>
      </c>
    </row>
    <row r="166" spans="1:14">
      <c r="A166" s="11" t="s">
        <v>424</v>
      </c>
      <c r="B166" s="19" t="s">
        <v>422</v>
      </c>
      <c r="C166" s="10" t="s">
        <v>423</v>
      </c>
      <c r="D166" s="12" t="s">
        <v>425</v>
      </c>
      <c r="E166" s="12" t="s">
        <v>40</v>
      </c>
      <c r="F166" s="12" t="s">
        <v>260</v>
      </c>
      <c r="G166" s="12" t="s">
        <v>36</v>
      </c>
      <c r="H166" s="21" t="s">
        <v>11</v>
      </c>
      <c r="I166" s="14" t="s">
        <v>11</v>
      </c>
      <c r="J166" s="15" t="s">
        <v>11</v>
      </c>
      <c r="K166" s="22" t="s">
        <v>11</v>
      </c>
      <c r="L166" s="12" t="s">
        <v>1</v>
      </c>
      <c r="M166" s="17"/>
    </row>
    <row r="167" spans="1:14">
      <c r="A167" s="11" t="s">
        <v>847</v>
      </c>
      <c r="B167" s="19" t="s">
        <v>426</v>
      </c>
      <c r="C167" s="10" t="s">
        <v>427</v>
      </c>
      <c r="D167" s="12" t="s">
        <v>428</v>
      </c>
      <c r="E167" s="12" t="s">
        <v>40</v>
      </c>
      <c r="F167" s="12" t="s">
        <v>59</v>
      </c>
      <c r="G167" s="12" t="s">
        <v>48</v>
      </c>
      <c r="H167" s="21" t="s">
        <v>10</v>
      </c>
      <c r="I167" s="29" t="s">
        <v>9</v>
      </c>
      <c r="J167" s="30" t="s">
        <v>10</v>
      </c>
      <c r="K167" s="16" t="s">
        <v>9</v>
      </c>
      <c r="L167" s="12" t="s">
        <v>1</v>
      </c>
      <c r="M167" s="17"/>
    </row>
    <row r="168" spans="1:14">
      <c r="A168" s="11" t="s">
        <v>848</v>
      </c>
      <c r="B168" s="19" t="s">
        <v>429</v>
      </c>
      <c r="C168" s="10" t="s">
        <v>430</v>
      </c>
      <c r="D168" s="12" t="s">
        <v>428</v>
      </c>
      <c r="E168" s="12" t="s">
        <v>40</v>
      </c>
      <c r="F168" s="12" t="s">
        <v>59</v>
      </c>
      <c r="G168" s="12" t="s">
        <v>48</v>
      </c>
      <c r="H168" s="21" t="s">
        <v>10</v>
      </c>
      <c r="I168" s="29" t="s">
        <v>9</v>
      </c>
      <c r="J168" s="30" t="s">
        <v>10</v>
      </c>
      <c r="K168" s="16" t="s">
        <v>9</v>
      </c>
      <c r="L168" s="12" t="s">
        <v>1</v>
      </c>
      <c r="M168" s="17"/>
    </row>
    <row r="169" spans="1:14">
      <c r="A169" s="11" t="s">
        <v>849</v>
      </c>
      <c r="B169" s="19" t="s">
        <v>431</v>
      </c>
      <c r="C169" s="10" t="s">
        <v>432</v>
      </c>
      <c r="D169" s="12" t="s">
        <v>428</v>
      </c>
      <c r="E169" s="12" t="s">
        <v>40</v>
      </c>
      <c r="F169" s="12" t="s">
        <v>59</v>
      </c>
      <c r="G169" s="12" t="s">
        <v>48</v>
      </c>
      <c r="H169" s="21" t="s">
        <v>10</v>
      </c>
      <c r="I169" s="29" t="s">
        <v>9</v>
      </c>
      <c r="J169" s="30" t="s">
        <v>10</v>
      </c>
      <c r="K169" s="16" t="s">
        <v>9</v>
      </c>
      <c r="L169" s="12" t="s">
        <v>1</v>
      </c>
      <c r="M169" s="17"/>
    </row>
    <row r="170" spans="1:14">
      <c r="A170" s="11" t="s">
        <v>850</v>
      </c>
      <c r="B170" s="19" t="s">
        <v>433</v>
      </c>
      <c r="C170" s="10" t="s">
        <v>434</v>
      </c>
      <c r="D170" s="12" t="s">
        <v>428</v>
      </c>
      <c r="E170" s="12" t="s">
        <v>40</v>
      </c>
      <c r="F170" s="12" t="s">
        <v>59</v>
      </c>
      <c r="G170" s="12" t="s">
        <v>48</v>
      </c>
      <c r="H170" s="21" t="s">
        <v>10</v>
      </c>
      <c r="I170" s="29" t="s">
        <v>9</v>
      </c>
      <c r="J170" s="30" t="s">
        <v>10</v>
      </c>
      <c r="K170" s="16" t="s">
        <v>9</v>
      </c>
      <c r="L170" s="12" t="s">
        <v>1</v>
      </c>
      <c r="M170" s="17"/>
    </row>
    <row r="171" spans="1:14">
      <c r="A171" s="11" t="s">
        <v>851</v>
      </c>
      <c r="B171" s="19" t="s">
        <v>435</v>
      </c>
      <c r="C171" s="10" t="s">
        <v>436</v>
      </c>
      <c r="D171" s="12" t="s">
        <v>428</v>
      </c>
      <c r="E171" s="12" t="s">
        <v>40</v>
      </c>
      <c r="F171" s="12" t="s">
        <v>59</v>
      </c>
      <c r="G171" s="12" t="s">
        <v>48</v>
      </c>
      <c r="H171" s="21" t="s">
        <v>10</v>
      </c>
      <c r="I171" s="29" t="s">
        <v>9</v>
      </c>
      <c r="J171" s="30" t="s">
        <v>10</v>
      </c>
      <c r="K171" s="16" t="s">
        <v>9</v>
      </c>
      <c r="L171" s="12" t="s">
        <v>1</v>
      </c>
      <c r="M171" s="17"/>
    </row>
    <row r="172" spans="1:14">
      <c r="A172" s="11" t="s">
        <v>852</v>
      </c>
      <c r="B172" s="19" t="s">
        <v>437</v>
      </c>
      <c r="C172" s="10" t="s">
        <v>438</v>
      </c>
      <c r="D172" s="12" t="s">
        <v>428</v>
      </c>
      <c r="E172" s="12" t="s">
        <v>40</v>
      </c>
      <c r="F172" s="12" t="s">
        <v>59</v>
      </c>
      <c r="G172" s="12" t="s">
        <v>48</v>
      </c>
      <c r="H172" s="21" t="s">
        <v>10</v>
      </c>
      <c r="I172" s="29" t="s">
        <v>9</v>
      </c>
      <c r="J172" s="30" t="s">
        <v>10</v>
      </c>
      <c r="K172" s="16" t="s">
        <v>9</v>
      </c>
      <c r="L172" s="12" t="s">
        <v>1</v>
      </c>
      <c r="M172" s="17"/>
    </row>
    <row r="173" spans="1:14">
      <c r="A173" s="11" t="s">
        <v>853</v>
      </c>
      <c r="B173" s="19" t="s">
        <v>439</v>
      </c>
      <c r="C173" s="10" t="s">
        <v>440</v>
      </c>
      <c r="D173" s="12" t="s">
        <v>428</v>
      </c>
      <c r="E173" s="12" t="s">
        <v>40</v>
      </c>
      <c r="F173" s="12" t="s">
        <v>59</v>
      </c>
      <c r="G173" s="12" t="s">
        <v>48</v>
      </c>
      <c r="H173" s="21" t="s">
        <v>10</v>
      </c>
      <c r="I173" s="29" t="s">
        <v>9</v>
      </c>
      <c r="J173" s="30" t="s">
        <v>10</v>
      </c>
      <c r="K173" s="16" t="s">
        <v>9</v>
      </c>
      <c r="L173" s="12" t="s">
        <v>1</v>
      </c>
      <c r="M173" s="17"/>
    </row>
    <row r="174" spans="1:14">
      <c r="A174" s="11" t="s">
        <v>854</v>
      </c>
      <c r="B174" s="19" t="s">
        <v>441</v>
      </c>
      <c r="C174" s="10" t="s">
        <v>442</v>
      </c>
      <c r="D174" s="12" t="s">
        <v>428</v>
      </c>
      <c r="E174" s="12" t="s">
        <v>40</v>
      </c>
      <c r="F174" s="12" t="s">
        <v>59</v>
      </c>
      <c r="G174" s="12" t="s">
        <v>48</v>
      </c>
      <c r="H174" s="21" t="s">
        <v>10</v>
      </c>
      <c r="I174" s="29" t="s">
        <v>9</v>
      </c>
      <c r="J174" s="30" t="s">
        <v>10</v>
      </c>
      <c r="K174" s="16" t="s">
        <v>9</v>
      </c>
      <c r="L174" s="12" t="s">
        <v>1</v>
      </c>
      <c r="M174" s="17"/>
    </row>
    <row r="175" spans="1:14">
      <c r="A175" s="11" t="s">
        <v>855</v>
      </c>
      <c r="B175" s="19" t="s">
        <v>443</v>
      </c>
      <c r="C175" s="10" t="s">
        <v>444</v>
      </c>
      <c r="D175" s="12" t="s">
        <v>428</v>
      </c>
      <c r="E175" s="12" t="s">
        <v>40</v>
      </c>
      <c r="F175" s="12" t="s">
        <v>59</v>
      </c>
      <c r="G175" s="12" t="s">
        <v>48</v>
      </c>
      <c r="H175" s="21" t="s">
        <v>10</v>
      </c>
      <c r="I175" s="29" t="s">
        <v>9</v>
      </c>
      <c r="J175" s="30" t="s">
        <v>10</v>
      </c>
      <c r="K175" s="16" t="s">
        <v>9</v>
      </c>
      <c r="L175" s="12" t="s">
        <v>1</v>
      </c>
      <c r="M175" s="17"/>
    </row>
    <row r="176" spans="1:14">
      <c r="A176" s="11" t="s">
        <v>856</v>
      </c>
      <c r="B176" s="19" t="s">
        <v>445</v>
      </c>
      <c r="C176" s="10" t="s">
        <v>446</v>
      </c>
      <c r="D176" s="12" t="s">
        <v>65</v>
      </c>
      <c r="E176" s="12" t="s">
        <v>53</v>
      </c>
      <c r="F176" s="12" t="s">
        <v>84</v>
      </c>
      <c r="G176" s="12" t="s">
        <v>42</v>
      </c>
      <c r="H176" s="21" t="s">
        <v>9</v>
      </c>
      <c r="I176" s="29" t="s">
        <v>9</v>
      </c>
      <c r="J176" s="15" t="s">
        <v>9</v>
      </c>
      <c r="K176" s="16" t="s">
        <v>9</v>
      </c>
      <c r="L176" s="12" t="s">
        <v>1</v>
      </c>
      <c r="M176" s="17"/>
    </row>
    <row r="177" spans="1:14">
      <c r="A177" s="11" t="s">
        <v>857</v>
      </c>
      <c r="B177" s="19" t="s">
        <v>447</v>
      </c>
      <c r="C177" s="10" t="s">
        <v>448</v>
      </c>
      <c r="D177" s="12" t="s">
        <v>65</v>
      </c>
      <c r="E177" s="12" t="s">
        <v>40</v>
      </c>
      <c r="F177" s="12" t="s">
        <v>84</v>
      </c>
      <c r="G177" s="12" t="s">
        <v>48</v>
      </c>
      <c r="H177" s="21" t="s">
        <v>11</v>
      </c>
      <c r="I177" s="14" t="s">
        <v>11</v>
      </c>
      <c r="J177" s="15" t="s">
        <v>11</v>
      </c>
      <c r="K177" s="22" t="s">
        <v>11</v>
      </c>
      <c r="L177" s="12" t="s">
        <v>1</v>
      </c>
      <c r="M177" s="17"/>
    </row>
    <row r="178" spans="1:14">
      <c r="A178" s="11" t="s">
        <v>858</v>
      </c>
      <c r="B178" s="19" t="s">
        <v>449</v>
      </c>
      <c r="C178" s="10" t="s">
        <v>450</v>
      </c>
      <c r="D178" s="12" t="s">
        <v>65</v>
      </c>
      <c r="E178" s="12" t="s">
        <v>40</v>
      </c>
      <c r="F178" s="12" t="s">
        <v>84</v>
      </c>
      <c r="G178" s="12" t="s">
        <v>42</v>
      </c>
      <c r="H178" s="21" t="s">
        <v>9</v>
      </c>
      <c r="I178" s="14" t="s">
        <v>9</v>
      </c>
      <c r="J178" s="15" t="s">
        <v>9</v>
      </c>
      <c r="K178" s="22" t="s">
        <v>9</v>
      </c>
      <c r="L178" s="12" t="s">
        <v>1</v>
      </c>
      <c r="M178" s="17"/>
    </row>
    <row r="179" spans="1:14">
      <c r="A179" s="33" t="s">
        <v>859</v>
      </c>
      <c r="B179" s="23" t="s">
        <v>451</v>
      </c>
      <c r="C179" s="32" t="s">
        <v>452</v>
      </c>
      <c r="D179" s="25" t="s">
        <v>453</v>
      </c>
      <c r="E179" s="25" t="s">
        <v>53</v>
      </c>
      <c r="F179" s="25" t="s">
        <v>12</v>
      </c>
      <c r="G179" s="25" t="s">
        <v>42</v>
      </c>
      <c r="H179" s="13" t="s">
        <v>9</v>
      </c>
      <c r="I179" s="14" t="s">
        <v>9</v>
      </c>
      <c r="J179" s="15" t="s">
        <v>10</v>
      </c>
      <c r="K179" s="22" t="s">
        <v>9</v>
      </c>
      <c r="L179" s="12" t="s">
        <v>1</v>
      </c>
      <c r="M179" s="17"/>
    </row>
    <row r="180" spans="1:14">
      <c r="A180" s="24" t="s">
        <v>860</v>
      </c>
      <c r="B180" s="23" t="s">
        <v>454</v>
      </c>
      <c r="C180" s="31" t="s">
        <v>455</v>
      </c>
      <c r="D180" s="25" t="s">
        <v>81</v>
      </c>
      <c r="E180" s="25" t="s">
        <v>53</v>
      </c>
      <c r="F180" s="25" t="s">
        <v>12</v>
      </c>
      <c r="G180" s="25" t="s">
        <v>42</v>
      </c>
      <c r="H180" s="13" t="s">
        <v>10</v>
      </c>
      <c r="I180" s="14" t="s">
        <v>10</v>
      </c>
      <c r="J180" s="15" t="s">
        <v>11</v>
      </c>
      <c r="K180" s="22" t="s">
        <v>9</v>
      </c>
      <c r="L180" s="12" t="s">
        <v>1</v>
      </c>
      <c r="M180" s="17"/>
    </row>
    <row r="181" spans="1:14" ht="29">
      <c r="A181" s="24" t="s">
        <v>457</v>
      </c>
      <c r="B181" s="19" t="s">
        <v>15</v>
      </c>
      <c r="C181" s="10" t="s">
        <v>456</v>
      </c>
      <c r="D181" s="12" t="s">
        <v>65</v>
      </c>
      <c r="E181" s="12" t="s">
        <v>40</v>
      </c>
      <c r="F181" s="12" t="s">
        <v>84</v>
      </c>
      <c r="G181" s="12" t="s">
        <v>42</v>
      </c>
      <c r="H181" s="21" t="s">
        <v>9</v>
      </c>
      <c r="I181" s="29" t="s">
        <v>9</v>
      </c>
      <c r="J181" s="30" t="s">
        <v>9</v>
      </c>
      <c r="K181" s="16" t="s">
        <v>9</v>
      </c>
      <c r="L181" s="12" t="s">
        <v>1</v>
      </c>
      <c r="M181" s="17"/>
      <c r="N181" s="74" t="s">
        <v>664</v>
      </c>
    </row>
    <row r="182" spans="1:14" ht="29">
      <c r="A182" s="24" t="s">
        <v>458</v>
      </c>
      <c r="B182" s="19" t="s">
        <v>15</v>
      </c>
      <c r="C182" s="10" t="s">
        <v>456</v>
      </c>
      <c r="D182" s="12" t="s">
        <v>65</v>
      </c>
      <c r="E182" s="12" t="s">
        <v>40</v>
      </c>
      <c r="F182" s="12" t="s">
        <v>84</v>
      </c>
      <c r="G182" s="12" t="s">
        <v>42</v>
      </c>
      <c r="H182" s="21" t="s">
        <v>9</v>
      </c>
      <c r="I182" s="29" t="s">
        <v>9</v>
      </c>
      <c r="J182" s="30" t="s">
        <v>9</v>
      </c>
      <c r="K182" s="16" t="s">
        <v>9</v>
      </c>
      <c r="L182" s="12" t="s">
        <v>1</v>
      </c>
      <c r="M182" s="17"/>
    </row>
    <row r="183" spans="1:14">
      <c r="A183" s="11" t="s">
        <v>861</v>
      </c>
      <c r="B183" s="19" t="s">
        <v>459</v>
      </c>
      <c r="C183" s="10" t="s">
        <v>460</v>
      </c>
      <c r="D183" s="12" t="s">
        <v>411</v>
      </c>
      <c r="E183" s="12" t="s">
        <v>40</v>
      </c>
      <c r="F183" s="12" t="s">
        <v>59</v>
      </c>
      <c r="G183" s="12" t="s">
        <v>48</v>
      </c>
      <c r="H183" s="13" t="s">
        <v>11</v>
      </c>
      <c r="I183" s="14" t="s">
        <v>11</v>
      </c>
      <c r="J183" s="15" t="s">
        <v>11</v>
      </c>
      <c r="K183" s="16" t="s">
        <v>11</v>
      </c>
      <c r="L183" s="12" t="s">
        <v>1</v>
      </c>
      <c r="M183" s="17"/>
    </row>
    <row r="184" spans="1:14">
      <c r="A184" s="11" t="s">
        <v>862</v>
      </c>
      <c r="B184" s="19" t="s">
        <v>461</v>
      </c>
      <c r="C184" s="10" t="s">
        <v>462</v>
      </c>
      <c r="D184" s="12" t="s">
        <v>65</v>
      </c>
      <c r="E184" s="12" t="s">
        <v>53</v>
      </c>
      <c r="F184" s="12" t="s">
        <v>66</v>
      </c>
      <c r="G184" s="12" t="s">
        <v>48</v>
      </c>
      <c r="H184" s="21" t="s">
        <v>11</v>
      </c>
      <c r="I184" s="14" t="s">
        <v>11</v>
      </c>
      <c r="J184" s="15" t="s">
        <v>11</v>
      </c>
      <c r="K184" s="22" t="s">
        <v>11</v>
      </c>
      <c r="L184" s="12" t="s">
        <v>1</v>
      </c>
      <c r="M184" s="17"/>
    </row>
    <row r="185" spans="1:14">
      <c r="A185" s="24" t="s">
        <v>863</v>
      </c>
      <c r="B185" s="23" t="s">
        <v>463</v>
      </c>
      <c r="C185" s="31" t="s">
        <v>464</v>
      </c>
      <c r="D185" s="25" t="s">
        <v>166</v>
      </c>
      <c r="E185" s="25" t="s">
        <v>40</v>
      </c>
      <c r="F185" s="25" t="s">
        <v>12</v>
      </c>
      <c r="G185" s="25" t="s">
        <v>42</v>
      </c>
      <c r="H185" s="13" t="s">
        <v>10</v>
      </c>
      <c r="I185" s="14" t="s">
        <v>10</v>
      </c>
      <c r="J185" s="15" t="s">
        <v>11</v>
      </c>
      <c r="K185" s="22" t="s">
        <v>10</v>
      </c>
      <c r="L185" s="12" t="s">
        <v>1</v>
      </c>
      <c r="M185" s="17"/>
    </row>
    <row r="186" spans="1:14">
      <c r="A186" s="24" t="s">
        <v>864</v>
      </c>
      <c r="B186" s="23" t="s">
        <v>465</v>
      </c>
      <c r="C186" s="26" t="s">
        <v>466</v>
      </c>
      <c r="D186" s="25" t="s">
        <v>467</v>
      </c>
      <c r="E186" s="25" t="s">
        <v>40</v>
      </c>
      <c r="F186" s="25" t="s">
        <v>12</v>
      </c>
      <c r="G186" s="25" t="s">
        <v>36</v>
      </c>
      <c r="H186" s="21" t="s">
        <v>11</v>
      </c>
      <c r="I186" s="14" t="s">
        <v>11</v>
      </c>
      <c r="J186" s="15" t="s">
        <v>11</v>
      </c>
      <c r="K186" s="22" t="s">
        <v>11</v>
      </c>
      <c r="L186" s="12" t="s">
        <v>1</v>
      </c>
      <c r="M186" s="17"/>
    </row>
    <row r="187" spans="1:14">
      <c r="A187" s="11" t="s">
        <v>865</v>
      </c>
      <c r="B187" s="23" t="s">
        <v>468</v>
      </c>
      <c r="C187" s="20" t="s">
        <v>469</v>
      </c>
      <c r="D187" s="25" t="s">
        <v>39</v>
      </c>
      <c r="E187" s="25" t="s">
        <v>53</v>
      </c>
      <c r="F187" s="25" t="s">
        <v>41</v>
      </c>
      <c r="G187" s="25" t="s">
        <v>42</v>
      </c>
      <c r="H187" s="13" t="s">
        <v>9</v>
      </c>
      <c r="I187" s="14" t="s">
        <v>9</v>
      </c>
      <c r="J187" s="15" t="s">
        <v>9</v>
      </c>
      <c r="K187" s="22" t="s">
        <v>9</v>
      </c>
      <c r="L187" s="12" t="s">
        <v>1</v>
      </c>
      <c r="M187" s="17"/>
    </row>
    <row r="188" spans="1:14">
      <c r="A188" s="11" t="s">
        <v>866</v>
      </c>
      <c r="B188" s="19" t="s">
        <v>470</v>
      </c>
      <c r="C188" s="20" t="s">
        <v>471</v>
      </c>
      <c r="D188" s="12" t="s">
        <v>39</v>
      </c>
      <c r="E188" s="12" t="s">
        <v>40</v>
      </c>
      <c r="F188" s="12" t="s">
        <v>41</v>
      </c>
      <c r="G188" s="12" t="s">
        <v>48</v>
      </c>
      <c r="H188" s="21" t="s">
        <v>11</v>
      </c>
      <c r="I188" s="14" t="s">
        <v>10</v>
      </c>
      <c r="J188" s="15" t="s">
        <v>11</v>
      </c>
      <c r="K188" s="22" t="s">
        <v>10</v>
      </c>
      <c r="L188" s="12" t="s">
        <v>1</v>
      </c>
      <c r="M188" s="17" t="s">
        <v>49</v>
      </c>
    </row>
    <row r="189" spans="1:14">
      <c r="A189" s="11" t="s">
        <v>867</v>
      </c>
      <c r="B189" s="19" t="s">
        <v>472</v>
      </c>
      <c r="C189" s="20" t="s">
        <v>473</v>
      </c>
      <c r="D189" s="12" t="s">
        <v>39</v>
      </c>
      <c r="E189" s="12" t="s">
        <v>40</v>
      </c>
      <c r="F189" s="12" t="s">
        <v>41</v>
      </c>
      <c r="G189" s="12" t="s">
        <v>48</v>
      </c>
      <c r="H189" s="21" t="s">
        <v>11</v>
      </c>
      <c r="I189" s="14" t="s">
        <v>11</v>
      </c>
      <c r="J189" s="15" t="s">
        <v>11</v>
      </c>
      <c r="K189" s="22" t="s">
        <v>11</v>
      </c>
      <c r="L189" s="12" t="s">
        <v>1</v>
      </c>
      <c r="M189" s="17"/>
    </row>
    <row r="190" spans="1:14">
      <c r="A190" s="11" t="s">
        <v>868</v>
      </c>
      <c r="B190" s="19" t="s">
        <v>474</v>
      </c>
      <c r="C190" s="20" t="s">
        <v>475</v>
      </c>
      <c r="D190" s="12" t="s">
        <v>39</v>
      </c>
      <c r="E190" s="12" t="s">
        <v>40</v>
      </c>
      <c r="F190" s="12" t="s">
        <v>41</v>
      </c>
      <c r="G190" s="12" t="s">
        <v>48</v>
      </c>
      <c r="H190" s="21" t="s">
        <v>11</v>
      </c>
      <c r="I190" s="14" t="s">
        <v>11</v>
      </c>
      <c r="J190" s="15" t="s">
        <v>11</v>
      </c>
      <c r="K190" s="22" t="s">
        <v>11</v>
      </c>
      <c r="L190" s="12" t="s">
        <v>1</v>
      </c>
      <c r="M190" s="17"/>
    </row>
    <row r="191" spans="1:14">
      <c r="A191" s="11" t="s">
        <v>869</v>
      </c>
      <c r="B191" s="19" t="s">
        <v>476</v>
      </c>
      <c r="C191" s="20" t="s">
        <v>477</v>
      </c>
      <c r="D191" s="12" t="s">
        <v>39</v>
      </c>
      <c r="E191" s="12" t="s">
        <v>35</v>
      </c>
      <c r="F191" s="12" t="s">
        <v>41</v>
      </c>
      <c r="G191" s="12" t="s">
        <v>42</v>
      </c>
      <c r="H191" s="21" t="s">
        <v>11</v>
      </c>
      <c r="I191" s="14" t="s">
        <v>11</v>
      </c>
      <c r="J191" s="15" t="s">
        <v>11</v>
      </c>
      <c r="K191" s="22" t="s">
        <v>11</v>
      </c>
      <c r="L191" s="12" t="s">
        <v>1</v>
      </c>
      <c r="M191" s="17"/>
    </row>
    <row r="192" spans="1:14" ht="29">
      <c r="A192" s="24" t="s">
        <v>870</v>
      </c>
      <c r="B192" s="23" t="s">
        <v>478</v>
      </c>
      <c r="C192" s="20" t="s">
        <v>479</v>
      </c>
      <c r="D192" s="25" t="s">
        <v>39</v>
      </c>
      <c r="E192" s="25" t="s">
        <v>53</v>
      </c>
      <c r="F192" s="25" t="s">
        <v>41</v>
      </c>
      <c r="G192" s="25" t="s">
        <v>42</v>
      </c>
      <c r="H192" s="13" t="s">
        <v>9</v>
      </c>
      <c r="I192" s="14" t="s">
        <v>9</v>
      </c>
      <c r="J192" s="15" t="s">
        <v>9</v>
      </c>
      <c r="K192" s="22" t="s">
        <v>9</v>
      </c>
      <c r="L192" s="12" t="s">
        <v>1</v>
      </c>
      <c r="M192" s="17"/>
    </row>
    <row r="193" spans="1:13">
      <c r="A193" s="24" t="s">
        <v>871</v>
      </c>
      <c r="B193" s="23" t="s">
        <v>480</v>
      </c>
      <c r="C193" s="31" t="s">
        <v>481</v>
      </c>
      <c r="D193" s="25" t="s">
        <v>117</v>
      </c>
      <c r="E193" s="25" t="s">
        <v>53</v>
      </c>
      <c r="F193" s="25" t="s">
        <v>12</v>
      </c>
      <c r="G193" s="25" t="s">
        <v>42</v>
      </c>
      <c r="H193" s="13" t="s">
        <v>10</v>
      </c>
      <c r="I193" s="14" t="s">
        <v>9</v>
      </c>
      <c r="J193" s="15" t="s">
        <v>10</v>
      </c>
      <c r="K193" s="22" t="s">
        <v>9</v>
      </c>
      <c r="L193" s="12" t="s">
        <v>1</v>
      </c>
      <c r="M193" s="17"/>
    </row>
    <row r="194" spans="1:13">
      <c r="A194" s="24" t="s">
        <v>872</v>
      </c>
      <c r="B194" s="23" t="s">
        <v>482</v>
      </c>
      <c r="C194" s="31" t="s">
        <v>483</v>
      </c>
      <c r="D194" s="25" t="s">
        <v>117</v>
      </c>
      <c r="E194" s="25" t="s">
        <v>144</v>
      </c>
      <c r="F194" s="25" t="s">
        <v>12</v>
      </c>
      <c r="G194" s="25" t="s">
        <v>42</v>
      </c>
      <c r="H194" s="13" t="s">
        <v>10</v>
      </c>
      <c r="I194" s="14" t="s">
        <v>10</v>
      </c>
      <c r="J194" s="15" t="s">
        <v>11</v>
      </c>
      <c r="K194" s="22" t="s">
        <v>9</v>
      </c>
      <c r="L194" s="12" t="s">
        <v>1</v>
      </c>
      <c r="M194" s="17"/>
    </row>
    <row r="195" spans="1:13">
      <c r="A195" s="24" t="s">
        <v>873</v>
      </c>
      <c r="B195" s="23" t="s">
        <v>484</v>
      </c>
      <c r="C195" s="31" t="s">
        <v>485</v>
      </c>
      <c r="D195" s="25" t="s">
        <v>117</v>
      </c>
      <c r="E195" s="25" t="s">
        <v>144</v>
      </c>
      <c r="F195" s="25" t="s">
        <v>12</v>
      </c>
      <c r="G195" s="25" t="s">
        <v>48</v>
      </c>
      <c r="H195" s="13" t="s">
        <v>10</v>
      </c>
      <c r="I195" s="14" t="s">
        <v>10</v>
      </c>
      <c r="J195" s="15" t="s">
        <v>11</v>
      </c>
      <c r="K195" s="22" t="s">
        <v>9</v>
      </c>
      <c r="L195" s="12" t="s">
        <v>1</v>
      </c>
      <c r="M195" s="17"/>
    </row>
    <row r="196" spans="1:13">
      <c r="A196" s="24" t="s">
        <v>874</v>
      </c>
      <c r="B196" s="23" t="s">
        <v>486</v>
      </c>
      <c r="C196" s="32" t="s">
        <v>487</v>
      </c>
      <c r="D196" s="25" t="s">
        <v>488</v>
      </c>
      <c r="E196" s="25" t="s">
        <v>53</v>
      </c>
      <c r="F196" s="25" t="s">
        <v>12</v>
      </c>
      <c r="G196" s="25" t="s">
        <v>48</v>
      </c>
      <c r="H196" s="13" t="s">
        <v>10</v>
      </c>
      <c r="I196" s="14" t="s">
        <v>10</v>
      </c>
      <c r="J196" s="15" t="s">
        <v>10</v>
      </c>
      <c r="K196" s="22" t="s">
        <v>10</v>
      </c>
      <c r="L196" s="12" t="s">
        <v>1</v>
      </c>
      <c r="M196" s="17"/>
    </row>
    <row r="197" spans="1:13">
      <c r="A197" s="24" t="s">
        <v>875</v>
      </c>
      <c r="B197" s="23" t="s">
        <v>489</v>
      </c>
      <c r="C197" s="31" t="s">
        <v>490</v>
      </c>
      <c r="D197" s="25" t="s">
        <v>52</v>
      </c>
      <c r="E197" s="25" t="s">
        <v>53</v>
      </c>
      <c r="F197" s="25" t="s">
        <v>12</v>
      </c>
      <c r="G197" s="25" t="s">
        <v>48</v>
      </c>
      <c r="H197" s="13" t="s">
        <v>10</v>
      </c>
      <c r="I197" s="14" t="s">
        <v>9</v>
      </c>
      <c r="J197" s="15" t="s">
        <v>10</v>
      </c>
      <c r="K197" s="22" t="s">
        <v>9</v>
      </c>
      <c r="L197" s="12" t="s">
        <v>1</v>
      </c>
      <c r="M197" s="17" t="s">
        <v>491</v>
      </c>
    </row>
    <row r="198" spans="1:13">
      <c r="A198" s="11" t="s">
        <v>876</v>
      </c>
      <c r="B198" s="19" t="s">
        <v>492</v>
      </c>
      <c r="C198" s="10" t="s">
        <v>493</v>
      </c>
      <c r="D198" s="12" t="s">
        <v>494</v>
      </c>
      <c r="E198" s="12" t="s">
        <v>40</v>
      </c>
      <c r="F198" s="12" t="s">
        <v>59</v>
      </c>
      <c r="G198" s="12" t="s">
        <v>48</v>
      </c>
      <c r="H198" s="13" t="s">
        <v>11</v>
      </c>
      <c r="I198" s="14" t="s">
        <v>11</v>
      </c>
      <c r="J198" s="15" t="s">
        <v>11</v>
      </c>
      <c r="K198" s="16" t="s">
        <v>10</v>
      </c>
      <c r="L198" s="12" t="s">
        <v>1</v>
      </c>
      <c r="M198" s="17" t="s">
        <v>495</v>
      </c>
    </row>
    <row r="199" spans="1:13" ht="29">
      <c r="A199" s="24" t="s">
        <v>877</v>
      </c>
      <c r="B199" s="23" t="s">
        <v>496</v>
      </c>
      <c r="C199" s="31" t="s">
        <v>497</v>
      </c>
      <c r="D199" s="25" t="s">
        <v>498</v>
      </c>
      <c r="E199" s="25" t="s">
        <v>40</v>
      </c>
      <c r="F199" s="25" t="s">
        <v>12</v>
      </c>
      <c r="G199" s="25" t="s">
        <v>42</v>
      </c>
      <c r="H199" s="13" t="s">
        <v>9</v>
      </c>
      <c r="I199" s="14" t="s">
        <v>9</v>
      </c>
      <c r="J199" s="15" t="s">
        <v>10</v>
      </c>
      <c r="K199" s="16" t="s">
        <v>9</v>
      </c>
      <c r="L199" s="12" t="s">
        <v>1</v>
      </c>
      <c r="M199" s="17"/>
    </row>
    <row r="200" spans="1:13">
      <c r="A200" s="24" t="s">
        <v>878</v>
      </c>
      <c r="B200" s="23" t="s">
        <v>496</v>
      </c>
      <c r="C200" s="31" t="s">
        <v>499</v>
      </c>
      <c r="D200" s="25" t="s">
        <v>498</v>
      </c>
      <c r="E200" s="25" t="s">
        <v>40</v>
      </c>
      <c r="F200" s="25" t="s">
        <v>12</v>
      </c>
      <c r="G200" s="25" t="s">
        <v>42</v>
      </c>
      <c r="H200" s="13" t="s">
        <v>10</v>
      </c>
      <c r="I200" s="14" t="s">
        <v>9</v>
      </c>
      <c r="J200" s="15" t="s">
        <v>10</v>
      </c>
      <c r="K200" s="16" t="s">
        <v>9</v>
      </c>
      <c r="L200" s="12" t="s">
        <v>1</v>
      </c>
      <c r="M200" s="17"/>
    </row>
    <row r="201" spans="1:13">
      <c r="A201" s="11" t="s">
        <v>879</v>
      </c>
      <c r="B201" s="19" t="s">
        <v>500</v>
      </c>
      <c r="C201" s="10" t="s">
        <v>501</v>
      </c>
      <c r="D201" s="12" t="s">
        <v>502</v>
      </c>
      <c r="E201" s="12" t="s">
        <v>40</v>
      </c>
      <c r="F201" s="12" t="s">
        <v>59</v>
      </c>
      <c r="G201" s="12" t="s">
        <v>48</v>
      </c>
      <c r="H201" s="13" t="s">
        <v>10</v>
      </c>
      <c r="I201" s="14" t="s">
        <v>9</v>
      </c>
      <c r="J201" s="15" t="s">
        <v>11</v>
      </c>
      <c r="K201" s="16" t="s">
        <v>9</v>
      </c>
      <c r="L201" s="12" t="s">
        <v>1</v>
      </c>
      <c r="M201" s="17"/>
    </row>
    <row r="202" spans="1:13">
      <c r="A202" s="24" t="s">
        <v>880</v>
      </c>
      <c r="B202" s="23" t="s">
        <v>503</v>
      </c>
      <c r="C202" s="26" t="s">
        <v>504</v>
      </c>
      <c r="D202" s="25" t="s">
        <v>505</v>
      </c>
      <c r="E202" s="25" t="s">
        <v>40</v>
      </c>
      <c r="F202" s="25" t="s">
        <v>12</v>
      </c>
      <c r="G202" s="25" t="s">
        <v>48</v>
      </c>
      <c r="H202" s="21" t="s">
        <v>10</v>
      </c>
      <c r="I202" s="14" t="s">
        <v>10</v>
      </c>
      <c r="J202" s="15" t="s">
        <v>11</v>
      </c>
      <c r="K202" s="22" t="s">
        <v>10</v>
      </c>
      <c r="L202" s="12" t="s">
        <v>1</v>
      </c>
      <c r="M202" s="17"/>
    </row>
    <row r="203" spans="1:13">
      <c r="A203" s="11" t="s">
        <v>881</v>
      </c>
      <c r="B203" s="19" t="s">
        <v>506</v>
      </c>
      <c r="C203" s="20" t="s">
        <v>507</v>
      </c>
      <c r="D203" s="12" t="s">
        <v>39</v>
      </c>
      <c r="E203" s="12" t="s">
        <v>40</v>
      </c>
      <c r="F203" s="12" t="s">
        <v>41</v>
      </c>
      <c r="G203" s="12" t="s">
        <v>48</v>
      </c>
      <c r="H203" s="21" t="s">
        <v>9</v>
      </c>
      <c r="I203" s="14" t="s">
        <v>9</v>
      </c>
      <c r="J203" s="15" t="s">
        <v>9</v>
      </c>
      <c r="K203" s="22" t="s">
        <v>9</v>
      </c>
      <c r="L203" s="12" t="s">
        <v>1</v>
      </c>
      <c r="M203" s="17"/>
    </row>
    <row r="204" spans="1:13">
      <c r="A204" s="11" t="s">
        <v>882</v>
      </c>
      <c r="B204" s="19" t="s">
        <v>508</v>
      </c>
      <c r="C204" s="20" t="s">
        <v>509</v>
      </c>
      <c r="D204" s="12" t="s">
        <v>39</v>
      </c>
      <c r="E204" s="12" t="s">
        <v>40</v>
      </c>
      <c r="F204" s="12" t="s">
        <v>41</v>
      </c>
      <c r="G204" s="12" t="s">
        <v>48</v>
      </c>
      <c r="H204" s="21" t="s">
        <v>9</v>
      </c>
      <c r="I204" s="14" t="s">
        <v>9</v>
      </c>
      <c r="J204" s="15" t="s">
        <v>9</v>
      </c>
      <c r="K204" s="22" t="s">
        <v>9</v>
      </c>
      <c r="L204" s="12" t="s">
        <v>1</v>
      </c>
      <c r="M204" s="17"/>
    </row>
    <row r="205" spans="1:13">
      <c r="A205" s="11" t="s">
        <v>883</v>
      </c>
      <c r="B205" s="19" t="s">
        <v>510</v>
      </c>
      <c r="C205" s="20" t="s">
        <v>511</v>
      </c>
      <c r="D205" s="12" t="s">
        <v>39</v>
      </c>
      <c r="E205" s="12" t="s">
        <v>40</v>
      </c>
      <c r="F205" s="12" t="s">
        <v>41</v>
      </c>
      <c r="G205" s="12" t="s">
        <v>48</v>
      </c>
      <c r="H205" s="21" t="s">
        <v>9</v>
      </c>
      <c r="I205" s="14" t="s">
        <v>9</v>
      </c>
      <c r="J205" s="15" t="s">
        <v>9</v>
      </c>
      <c r="K205" s="22" t="s">
        <v>9</v>
      </c>
      <c r="L205" s="12" t="s">
        <v>1</v>
      </c>
      <c r="M205" s="17"/>
    </row>
    <row r="206" spans="1:13">
      <c r="A206" s="11" t="s">
        <v>884</v>
      </c>
      <c r="B206" s="19" t="s">
        <v>512</v>
      </c>
      <c r="C206" s="10" t="s">
        <v>513</v>
      </c>
      <c r="D206" s="12" t="s">
        <v>514</v>
      </c>
      <c r="E206" s="12" t="s">
        <v>40</v>
      </c>
      <c r="F206" s="12" t="s">
        <v>59</v>
      </c>
      <c r="G206" s="12" t="s">
        <v>36</v>
      </c>
      <c r="H206" s="13" t="s">
        <v>11</v>
      </c>
      <c r="I206" s="14" t="s">
        <v>10</v>
      </c>
      <c r="J206" s="15" t="s">
        <v>11</v>
      </c>
      <c r="K206" s="16" t="s">
        <v>9</v>
      </c>
      <c r="L206" s="12" t="s">
        <v>1</v>
      </c>
      <c r="M206" s="17"/>
    </row>
    <row r="207" spans="1:13">
      <c r="A207" s="11" t="s">
        <v>885</v>
      </c>
      <c r="B207" s="19" t="s">
        <v>515</v>
      </c>
      <c r="C207" s="10" t="s">
        <v>516</v>
      </c>
      <c r="D207" s="12" t="s">
        <v>58</v>
      </c>
      <c r="E207" s="12" t="s">
        <v>40</v>
      </c>
      <c r="F207" s="12" t="s">
        <v>59</v>
      </c>
      <c r="G207" s="12" t="s">
        <v>42</v>
      </c>
      <c r="H207" s="34" t="s">
        <v>10</v>
      </c>
      <c r="I207" s="29" t="s">
        <v>10</v>
      </c>
      <c r="J207" s="30" t="s">
        <v>11</v>
      </c>
      <c r="K207" s="16" t="s">
        <v>9</v>
      </c>
      <c r="L207" s="12" t="s">
        <v>1</v>
      </c>
      <c r="M207" s="17"/>
    </row>
    <row r="208" spans="1:13">
      <c r="A208" s="11" t="s">
        <v>886</v>
      </c>
      <c r="B208" s="19" t="s">
        <v>517</v>
      </c>
      <c r="C208" s="10" t="s">
        <v>518</v>
      </c>
      <c r="D208" s="12" t="s">
        <v>58</v>
      </c>
      <c r="E208" s="12" t="s">
        <v>40</v>
      </c>
      <c r="F208" s="12" t="s">
        <v>59</v>
      </c>
      <c r="G208" s="12" t="s">
        <v>42</v>
      </c>
      <c r="H208" s="13" t="s">
        <v>11</v>
      </c>
      <c r="I208" s="14" t="s">
        <v>10</v>
      </c>
      <c r="J208" s="15" t="s">
        <v>10</v>
      </c>
      <c r="K208" s="16" t="s">
        <v>9</v>
      </c>
      <c r="L208" s="12" t="s">
        <v>1</v>
      </c>
      <c r="M208" s="17"/>
    </row>
    <row r="209" spans="1:13">
      <c r="A209" s="28" t="s">
        <v>887</v>
      </c>
      <c r="B209" s="23" t="s">
        <v>519</v>
      </c>
      <c r="C209" s="27" t="s">
        <v>520</v>
      </c>
      <c r="D209" s="25" t="s">
        <v>520</v>
      </c>
      <c r="E209" s="25" t="s">
        <v>53</v>
      </c>
      <c r="F209" s="25" t="s">
        <v>12</v>
      </c>
      <c r="G209" s="25" t="s">
        <v>42</v>
      </c>
      <c r="H209" s="13" t="s">
        <v>10</v>
      </c>
      <c r="I209" s="14" t="s">
        <v>10</v>
      </c>
      <c r="J209" s="15" t="s">
        <v>11</v>
      </c>
      <c r="K209" s="22" t="s">
        <v>10</v>
      </c>
      <c r="L209" s="12" t="s">
        <v>1</v>
      </c>
      <c r="M209" s="17"/>
    </row>
    <row r="210" spans="1:13">
      <c r="A210" s="11" t="s">
        <v>888</v>
      </c>
      <c r="B210" s="19" t="s">
        <v>521</v>
      </c>
      <c r="C210" s="10" t="s">
        <v>522</v>
      </c>
      <c r="D210" s="12" t="s">
        <v>523</v>
      </c>
      <c r="E210" s="12" t="s">
        <v>40</v>
      </c>
      <c r="F210" s="12" t="s">
        <v>12</v>
      </c>
      <c r="G210" s="12" t="s">
        <v>42</v>
      </c>
      <c r="H210" s="21" t="s">
        <v>11</v>
      </c>
      <c r="I210" s="14" t="s">
        <v>10</v>
      </c>
      <c r="J210" s="15" t="s">
        <v>11</v>
      </c>
      <c r="K210" s="22" t="s">
        <v>10</v>
      </c>
      <c r="L210" s="12" t="s">
        <v>1</v>
      </c>
      <c r="M210" s="17"/>
    </row>
    <row r="211" spans="1:13">
      <c r="A211" s="11" t="s">
        <v>889</v>
      </c>
      <c r="B211" s="19" t="s">
        <v>524</v>
      </c>
      <c r="C211" s="10" t="s">
        <v>525</v>
      </c>
      <c r="D211" s="12" t="s">
        <v>65</v>
      </c>
      <c r="E211" s="12" t="s">
        <v>40</v>
      </c>
      <c r="F211" s="12" t="s">
        <v>66</v>
      </c>
      <c r="G211" s="12" t="s">
        <v>48</v>
      </c>
      <c r="H211" s="21" t="s">
        <v>10</v>
      </c>
      <c r="I211" s="29" t="s">
        <v>10</v>
      </c>
      <c r="J211" s="30" t="s">
        <v>10</v>
      </c>
      <c r="K211" s="16" t="s">
        <v>9</v>
      </c>
      <c r="L211" s="12" t="s">
        <v>1</v>
      </c>
      <c r="M211" s="17"/>
    </row>
    <row r="212" spans="1:13">
      <c r="A212" s="11" t="s">
        <v>890</v>
      </c>
      <c r="B212" s="19" t="s">
        <v>526</v>
      </c>
      <c r="C212" s="10" t="s">
        <v>527</v>
      </c>
      <c r="D212" s="12" t="s">
        <v>65</v>
      </c>
      <c r="E212" s="12" t="s">
        <v>40</v>
      </c>
      <c r="F212" s="12" t="s">
        <v>84</v>
      </c>
      <c r="G212" s="12" t="s">
        <v>42</v>
      </c>
      <c r="H212" s="21" t="s">
        <v>9</v>
      </c>
      <c r="I212" s="29" t="s">
        <v>9</v>
      </c>
      <c r="J212" s="30" t="s">
        <v>10</v>
      </c>
      <c r="K212" s="16" t="s">
        <v>10</v>
      </c>
      <c r="L212" s="12" t="s">
        <v>1</v>
      </c>
      <c r="M212" s="17"/>
    </row>
    <row r="213" spans="1:13">
      <c r="A213" s="24" t="s">
        <v>891</v>
      </c>
      <c r="B213" s="23" t="s">
        <v>528</v>
      </c>
      <c r="C213" s="20" t="s">
        <v>529</v>
      </c>
      <c r="D213" s="25" t="s">
        <v>117</v>
      </c>
      <c r="E213" s="25" t="s">
        <v>144</v>
      </c>
      <c r="F213" s="25" t="s">
        <v>12</v>
      </c>
      <c r="G213" s="25" t="s">
        <v>42</v>
      </c>
      <c r="H213" s="13" t="s">
        <v>9</v>
      </c>
      <c r="I213" s="14" t="s">
        <v>9</v>
      </c>
      <c r="J213" s="15" t="s">
        <v>10</v>
      </c>
      <c r="K213" s="22" t="s">
        <v>9</v>
      </c>
      <c r="L213" s="12" t="s">
        <v>1</v>
      </c>
      <c r="M213" s="17"/>
    </row>
    <row r="214" spans="1:13">
      <c r="A214" s="24" t="s">
        <v>892</v>
      </c>
      <c r="B214" s="23" t="s">
        <v>530</v>
      </c>
      <c r="C214" s="31" t="s">
        <v>531</v>
      </c>
      <c r="D214" s="25" t="s">
        <v>117</v>
      </c>
      <c r="E214" s="25" t="s">
        <v>144</v>
      </c>
      <c r="F214" s="25" t="s">
        <v>12</v>
      </c>
      <c r="G214" s="25" t="s">
        <v>42</v>
      </c>
      <c r="H214" s="13" t="s">
        <v>10</v>
      </c>
      <c r="I214" s="14" t="s">
        <v>9</v>
      </c>
      <c r="J214" s="15" t="s">
        <v>10</v>
      </c>
      <c r="K214" s="16" t="s">
        <v>9</v>
      </c>
      <c r="L214" s="12" t="s">
        <v>1</v>
      </c>
      <c r="M214" s="17"/>
    </row>
    <row r="215" spans="1:13">
      <c r="A215" s="24" t="s">
        <v>893</v>
      </c>
      <c r="B215" s="23" t="s">
        <v>532</v>
      </c>
      <c r="C215" s="31" t="s">
        <v>533</v>
      </c>
      <c r="D215" s="25" t="s">
        <v>143</v>
      </c>
      <c r="E215" s="25" t="s">
        <v>53</v>
      </c>
      <c r="F215" s="25" t="s">
        <v>12</v>
      </c>
      <c r="G215" s="25" t="s">
        <v>48</v>
      </c>
      <c r="H215" s="13" t="s">
        <v>10</v>
      </c>
      <c r="I215" s="14" t="s">
        <v>9</v>
      </c>
      <c r="J215" s="15" t="s">
        <v>10</v>
      </c>
      <c r="K215" s="16" t="s">
        <v>9</v>
      </c>
      <c r="L215" s="12" t="s">
        <v>1</v>
      </c>
      <c r="M215" s="17"/>
    </row>
    <row r="216" spans="1:13">
      <c r="A216" s="24" t="s">
        <v>894</v>
      </c>
      <c r="B216" s="23" t="s">
        <v>534</v>
      </c>
      <c r="C216" s="31" t="s">
        <v>535</v>
      </c>
      <c r="D216" s="25" t="s">
        <v>143</v>
      </c>
      <c r="E216" s="25" t="s">
        <v>53</v>
      </c>
      <c r="F216" s="25" t="s">
        <v>12</v>
      </c>
      <c r="G216" s="25" t="s">
        <v>48</v>
      </c>
      <c r="H216" s="13" t="s">
        <v>10</v>
      </c>
      <c r="I216" s="14" t="s">
        <v>9</v>
      </c>
      <c r="J216" s="15" t="s">
        <v>10</v>
      </c>
      <c r="K216" s="22" t="s">
        <v>9</v>
      </c>
      <c r="L216" s="12" t="s">
        <v>1</v>
      </c>
      <c r="M216" s="17"/>
    </row>
    <row r="217" spans="1:13">
      <c r="A217" s="11" t="s">
        <v>895</v>
      </c>
      <c r="B217" s="19" t="s">
        <v>536</v>
      </c>
      <c r="C217" s="10" t="s">
        <v>537</v>
      </c>
      <c r="D217" s="12" t="s">
        <v>65</v>
      </c>
      <c r="E217" s="12" t="s">
        <v>40</v>
      </c>
      <c r="F217" s="12" t="s">
        <v>84</v>
      </c>
      <c r="G217" s="12" t="s">
        <v>42</v>
      </c>
      <c r="H217" s="21" t="s">
        <v>9</v>
      </c>
      <c r="I217" s="14" t="s">
        <v>9</v>
      </c>
      <c r="J217" s="15" t="s">
        <v>9</v>
      </c>
      <c r="K217" s="22" t="s">
        <v>10</v>
      </c>
      <c r="L217" s="12" t="s">
        <v>1</v>
      </c>
      <c r="M217" s="17"/>
    </row>
    <row r="218" spans="1:13">
      <c r="A218" s="11" t="s">
        <v>896</v>
      </c>
      <c r="B218" s="19" t="s">
        <v>538</v>
      </c>
      <c r="C218" s="10" t="s">
        <v>539</v>
      </c>
      <c r="D218" s="12" t="s">
        <v>65</v>
      </c>
      <c r="E218" s="12" t="s">
        <v>40</v>
      </c>
      <c r="F218" s="12" t="s">
        <v>84</v>
      </c>
      <c r="G218" s="12" t="s">
        <v>48</v>
      </c>
      <c r="H218" s="21" t="s">
        <v>9</v>
      </c>
      <c r="I218" s="29" t="s">
        <v>11</v>
      </c>
      <c r="J218" s="30" t="s">
        <v>10</v>
      </c>
      <c r="K218" s="16" t="s">
        <v>11</v>
      </c>
      <c r="L218" s="12" t="s">
        <v>1</v>
      </c>
      <c r="M218" s="17" t="s">
        <v>176</v>
      </c>
    </row>
    <row r="219" spans="1:13">
      <c r="A219" s="11" t="s">
        <v>897</v>
      </c>
      <c r="B219" s="19" t="s">
        <v>540</v>
      </c>
      <c r="C219" s="10" t="s">
        <v>541</v>
      </c>
      <c r="D219" s="12" t="s">
        <v>34</v>
      </c>
      <c r="E219" s="12" t="s">
        <v>40</v>
      </c>
      <c r="F219" s="12" t="s">
        <v>59</v>
      </c>
      <c r="G219" s="12" t="s">
        <v>48</v>
      </c>
      <c r="H219" s="13" t="s">
        <v>11</v>
      </c>
      <c r="I219" s="14" t="s">
        <v>10</v>
      </c>
      <c r="J219" s="15" t="s">
        <v>11</v>
      </c>
      <c r="K219" s="16" t="s">
        <v>9</v>
      </c>
      <c r="L219" s="12" t="s">
        <v>1</v>
      </c>
      <c r="M219" s="17"/>
    </row>
    <row r="220" spans="1:13">
      <c r="A220" s="11" t="s">
        <v>898</v>
      </c>
      <c r="B220" s="19" t="s">
        <v>542</v>
      </c>
      <c r="C220" s="10" t="s">
        <v>543</v>
      </c>
      <c r="D220" s="12" t="s">
        <v>34</v>
      </c>
      <c r="E220" s="12" t="s">
        <v>40</v>
      </c>
      <c r="F220" s="12" t="s">
        <v>59</v>
      </c>
      <c r="G220" s="12" t="s">
        <v>42</v>
      </c>
      <c r="H220" s="13" t="s">
        <v>11</v>
      </c>
      <c r="I220" s="14" t="s">
        <v>10</v>
      </c>
      <c r="J220" s="15" t="s">
        <v>10</v>
      </c>
      <c r="K220" s="16" t="s">
        <v>9</v>
      </c>
      <c r="L220" s="12" t="s">
        <v>1</v>
      </c>
      <c r="M220" s="17"/>
    </row>
    <row r="221" spans="1:13">
      <c r="A221" s="11" t="s">
        <v>899</v>
      </c>
      <c r="B221" s="19" t="s">
        <v>544</v>
      </c>
      <c r="C221" s="10" t="s">
        <v>545</v>
      </c>
      <c r="D221" s="12" t="s">
        <v>34</v>
      </c>
      <c r="E221" s="12" t="s">
        <v>40</v>
      </c>
      <c r="F221" s="12" t="s">
        <v>59</v>
      </c>
      <c r="G221" s="12" t="s">
        <v>48</v>
      </c>
      <c r="H221" s="13" t="s">
        <v>11</v>
      </c>
      <c r="I221" s="14" t="s">
        <v>10</v>
      </c>
      <c r="J221" s="15" t="s">
        <v>11</v>
      </c>
      <c r="K221" s="16" t="s">
        <v>9</v>
      </c>
      <c r="L221" s="12" t="s">
        <v>1</v>
      </c>
      <c r="M221" s="17"/>
    </row>
    <row r="222" spans="1:13">
      <c r="A222" s="11" t="s">
        <v>900</v>
      </c>
      <c r="B222" s="19" t="s">
        <v>19</v>
      </c>
      <c r="C222" s="10" t="s">
        <v>546</v>
      </c>
      <c r="D222" s="12" t="s">
        <v>547</v>
      </c>
      <c r="E222" s="12" t="s">
        <v>35</v>
      </c>
      <c r="F222" s="12" t="s">
        <v>260</v>
      </c>
      <c r="G222" s="12" t="s">
        <v>48</v>
      </c>
      <c r="H222" s="21" t="s">
        <v>10</v>
      </c>
      <c r="I222" s="14" t="s">
        <v>11</v>
      </c>
      <c r="J222" s="15" t="s">
        <v>11</v>
      </c>
      <c r="K222" s="22" t="s">
        <v>11</v>
      </c>
      <c r="L222" s="12" t="s">
        <v>1</v>
      </c>
      <c r="M222" s="17"/>
    </row>
    <row r="223" spans="1:13">
      <c r="A223" s="11" t="s">
        <v>901</v>
      </c>
      <c r="B223" s="19" t="s">
        <v>548</v>
      </c>
      <c r="C223" s="10" t="s">
        <v>549</v>
      </c>
      <c r="D223" s="12" t="s">
        <v>65</v>
      </c>
      <c r="E223" s="12" t="s">
        <v>53</v>
      </c>
      <c r="F223" s="12" t="s">
        <v>84</v>
      </c>
      <c r="G223" s="12" t="s">
        <v>42</v>
      </c>
      <c r="H223" s="21" t="s">
        <v>9</v>
      </c>
      <c r="I223" s="29" t="s">
        <v>9</v>
      </c>
      <c r="J223" s="30" t="s">
        <v>9</v>
      </c>
      <c r="K223" s="16" t="s">
        <v>9</v>
      </c>
      <c r="L223" s="12" t="s">
        <v>1</v>
      </c>
      <c r="M223" s="17"/>
    </row>
    <row r="224" spans="1:13">
      <c r="A224" s="24" t="s">
        <v>902</v>
      </c>
      <c r="B224" s="23" t="s">
        <v>550</v>
      </c>
      <c r="C224" s="20" t="s">
        <v>551</v>
      </c>
      <c r="D224" s="25" t="s">
        <v>65</v>
      </c>
      <c r="E224" s="25" t="s">
        <v>53</v>
      </c>
      <c r="F224" s="25" t="s">
        <v>84</v>
      </c>
      <c r="G224" s="25" t="s">
        <v>42</v>
      </c>
      <c r="H224" s="13" t="s">
        <v>9</v>
      </c>
      <c r="I224" s="14" t="s">
        <v>9</v>
      </c>
      <c r="J224" s="15" t="s">
        <v>9</v>
      </c>
      <c r="K224" s="22" t="s">
        <v>9</v>
      </c>
      <c r="L224" s="12" t="s">
        <v>1</v>
      </c>
      <c r="M224" s="17"/>
    </row>
    <row r="225" spans="1:13" ht="29">
      <c r="A225" s="11" t="s">
        <v>903</v>
      </c>
      <c r="B225" s="19" t="s">
        <v>552</v>
      </c>
      <c r="C225" s="10" t="s">
        <v>553</v>
      </c>
      <c r="D225" s="12" t="s">
        <v>65</v>
      </c>
      <c r="E225" s="12" t="s">
        <v>144</v>
      </c>
      <c r="F225" s="12" t="s">
        <v>84</v>
      </c>
      <c r="G225" s="12" t="s">
        <v>42</v>
      </c>
      <c r="H225" s="21" t="s">
        <v>9</v>
      </c>
      <c r="I225" s="29" t="s">
        <v>9</v>
      </c>
      <c r="J225" s="30" t="s">
        <v>9</v>
      </c>
      <c r="K225" s="16" t="s">
        <v>10</v>
      </c>
      <c r="L225" s="12" t="s">
        <v>1</v>
      </c>
      <c r="M225" s="17"/>
    </row>
    <row r="226" spans="1:13">
      <c r="A226" s="11" t="s">
        <v>904</v>
      </c>
      <c r="B226" s="19" t="s">
        <v>554</v>
      </c>
      <c r="C226" s="10" t="s">
        <v>555</v>
      </c>
      <c r="D226" s="12" t="s">
        <v>65</v>
      </c>
      <c r="E226" s="12" t="s">
        <v>40</v>
      </c>
      <c r="F226" s="12" t="s">
        <v>84</v>
      </c>
      <c r="G226" s="12" t="s">
        <v>42</v>
      </c>
      <c r="H226" s="21" t="s">
        <v>9</v>
      </c>
      <c r="I226" s="29" t="s">
        <v>9</v>
      </c>
      <c r="J226" s="30" t="s">
        <v>9</v>
      </c>
      <c r="K226" s="16" t="s">
        <v>9</v>
      </c>
      <c r="L226" s="12" t="s">
        <v>1</v>
      </c>
      <c r="M226" s="17"/>
    </row>
    <row r="227" spans="1:13">
      <c r="A227" s="28" t="s">
        <v>905</v>
      </c>
      <c r="B227" s="23" t="s">
        <v>556</v>
      </c>
      <c r="C227" s="27" t="s">
        <v>557</v>
      </c>
      <c r="D227" s="25" t="s">
        <v>143</v>
      </c>
      <c r="E227" s="25" t="s">
        <v>53</v>
      </c>
      <c r="F227" s="25" t="s">
        <v>12</v>
      </c>
      <c r="G227" s="25" t="s">
        <v>42</v>
      </c>
      <c r="H227" s="13" t="s">
        <v>9</v>
      </c>
      <c r="I227" s="14" t="s">
        <v>9</v>
      </c>
      <c r="J227" s="15" t="s">
        <v>10</v>
      </c>
      <c r="K227" s="22" t="s">
        <v>9</v>
      </c>
      <c r="L227" s="12" t="s">
        <v>1</v>
      </c>
      <c r="M227" s="17"/>
    </row>
    <row r="228" spans="1:13">
      <c r="A228" s="24" t="s">
        <v>906</v>
      </c>
      <c r="B228" s="23" t="s">
        <v>558</v>
      </c>
      <c r="C228" s="31" t="s">
        <v>559</v>
      </c>
      <c r="D228" s="25" t="s">
        <v>143</v>
      </c>
      <c r="E228" s="25" t="s">
        <v>144</v>
      </c>
      <c r="F228" s="25" t="s">
        <v>12</v>
      </c>
      <c r="G228" s="25" t="s">
        <v>42</v>
      </c>
      <c r="H228" s="13" t="s">
        <v>10</v>
      </c>
      <c r="I228" s="14" t="s">
        <v>10</v>
      </c>
      <c r="J228" s="15" t="s">
        <v>11</v>
      </c>
      <c r="K228" s="22" t="s">
        <v>9</v>
      </c>
      <c r="L228" s="12" t="s">
        <v>1</v>
      </c>
      <c r="M228" s="17"/>
    </row>
    <row r="229" spans="1:13">
      <c r="A229" s="11" t="s">
        <v>907</v>
      </c>
      <c r="B229" s="19" t="s">
        <v>560</v>
      </c>
      <c r="C229" s="10" t="s">
        <v>561</v>
      </c>
      <c r="D229" s="12" t="s">
        <v>425</v>
      </c>
      <c r="E229" s="12" t="s">
        <v>35</v>
      </c>
      <c r="F229" s="12" t="s">
        <v>260</v>
      </c>
      <c r="G229" s="12" t="s">
        <v>36</v>
      </c>
      <c r="H229" s="21" t="s">
        <v>11</v>
      </c>
      <c r="I229" s="14" t="s">
        <v>11</v>
      </c>
      <c r="J229" s="15" t="s">
        <v>11</v>
      </c>
      <c r="K229" s="22" t="s">
        <v>11</v>
      </c>
      <c r="L229" s="12" t="s">
        <v>1</v>
      </c>
      <c r="M229" s="17"/>
    </row>
    <row r="230" spans="1:13">
      <c r="A230" s="11" t="s">
        <v>908</v>
      </c>
      <c r="B230" s="19" t="s">
        <v>562</v>
      </c>
      <c r="C230" s="10" t="s">
        <v>563</v>
      </c>
      <c r="D230" s="12" t="s">
        <v>117</v>
      </c>
      <c r="E230" s="12" t="s">
        <v>144</v>
      </c>
      <c r="F230" s="12" t="s">
        <v>12</v>
      </c>
      <c r="G230" s="12" t="s">
        <v>48</v>
      </c>
      <c r="H230" s="21" t="s">
        <v>11</v>
      </c>
      <c r="I230" s="14" t="s">
        <v>10</v>
      </c>
      <c r="J230" s="15" t="s">
        <v>11</v>
      </c>
      <c r="K230" s="22" t="s">
        <v>10</v>
      </c>
      <c r="L230" s="12" t="s">
        <v>1</v>
      </c>
      <c r="M230" s="17"/>
    </row>
    <row r="231" spans="1:13">
      <c r="A231" s="11" t="s">
        <v>909</v>
      </c>
      <c r="B231" s="19" t="s">
        <v>564</v>
      </c>
      <c r="C231" s="20" t="s">
        <v>565</v>
      </c>
      <c r="D231" s="12" t="s">
        <v>39</v>
      </c>
      <c r="E231" s="12" t="s">
        <v>40</v>
      </c>
      <c r="F231" s="12" t="s">
        <v>41</v>
      </c>
      <c r="G231" s="12" t="s">
        <v>48</v>
      </c>
      <c r="H231" s="21" t="s">
        <v>11</v>
      </c>
      <c r="I231" s="14"/>
      <c r="J231" s="15"/>
      <c r="K231" s="22"/>
      <c r="L231" s="12" t="s">
        <v>1</v>
      </c>
      <c r="M231" s="17"/>
    </row>
    <row r="232" spans="1:13">
      <c r="A232" s="24" t="s">
        <v>910</v>
      </c>
      <c r="B232" s="23" t="s">
        <v>566</v>
      </c>
      <c r="C232" s="26" t="s">
        <v>567</v>
      </c>
      <c r="D232" s="25" t="s">
        <v>143</v>
      </c>
      <c r="E232" s="25" t="s">
        <v>40</v>
      </c>
      <c r="F232" s="25" t="s">
        <v>12</v>
      </c>
      <c r="G232" s="25" t="s">
        <v>48</v>
      </c>
      <c r="H232" s="21" t="s">
        <v>11</v>
      </c>
      <c r="I232" s="14" t="s">
        <v>11</v>
      </c>
      <c r="J232" s="15" t="s">
        <v>11</v>
      </c>
      <c r="K232" s="22" t="s">
        <v>11</v>
      </c>
      <c r="L232" s="12" t="s">
        <v>1</v>
      </c>
      <c r="M232" s="17"/>
    </row>
    <row r="233" spans="1:13">
      <c r="A233" s="24" t="s">
        <v>911</v>
      </c>
      <c r="B233" s="23" t="s">
        <v>568</v>
      </c>
      <c r="C233" s="26" t="s">
        <v>569</v>
      </c>
      <c r="D233" s="25" t="s">
        <v>143</v>
      </c>
      <c r="E233" s="25" t="s">
        <v>53</v>
      </c>
      <c r="F233" s="25" t="s">
        <v>12</v>
      </c>
      <c r="G233" s="25" t="s">
        <v>48</v>
      </c>
      <c r="H233" s="21" t="s">
        <v>11</v>
      </c>
      <c r="I233" s="14"/>
      <c r="J233" s="15"/>
      <c r="K233" s="22"/>
      <c r="L233" s="12" t="s">
        <v>1</v>
      </c>
      <c r="M233" s="17"/>
    </row>
    <row r="234" spans="1:13">
      <c r="A234" s="11" t="s">
        <v>912</v>
      </c>
      <c r="B234" s="19" t="s">
        <v>570</v>
      </c>
      <c r="C234" s="10" t="s">
        <v>571</v>
      </c>
      <c r="D234" s="12" t="s">
        <v>65</v>
      </c>
      <c r="E234" s="12" t="s">
        <v>53</v>
      </c>
      <c r="F234" s="12" t="s">
        <v>66</v>
      </c>
      <c r="G234" s="12" t="s">
        <v>42</v>
      </c>
      <c r="H234" s="21" t="s">
        <v>9</v>
      </c>
      <c r="I234" s="29" t="s">
        <v>10</v>
      </c>
      <c r="J234" s="30" t="s">
        <v>10</v>
      </c>
      <c r="K234" s="16" t="s">
        <v>10</v>
      </c>
      <c r="L234" s="12" t="s">
        <v>1</v>
      </c>
      <c r="M234" s="17"/>
    </row>
    <row r="235" spans="1:13" ht="29">
      <c r="A235" s="11" t="s">
        <v>913</v>
      </c>
      <c r="B235" s="19" t="s">
        <v>570</v>
      </c>
      <c r="C235" s="10" t="s">
        <v>571</v>
      </c>
      <c r="D235" s="12" t="s">
        <v>65</v>
      </c>
      <c r="E235" s="12" t="s">
        <v>53</v>
      </c>
      <c r="F235" s="12" t="s">
        <v>66</v>
      </c>
      <c r="G235" s="12" t="s">
        <v>42</v>
      </c>
      <c r="H235" s="21" t="s">
        <v>9</v>
      </c>
      <c r="I235" s="29" t="s">
        <v>9</v>
      </c>
      <c r="J235" s="30" t="s">
        <v>9</v>
      </c>
      <c r="K235" s="16" t="s">
        <v>9</v>
      </c>
      <c r="L235" s="12" t="s">
        <v>1</v>
      </c>
      <c r="M235" s="17"/>
    </row>
    <row r="236" spans="1:13">
      <c r="A236" s="28" t="s">
        <v>914</v>
      </c>
      <c r="B236" s="23" t="s">
        <v>572</v>
      </c>
      <c r="C236" s="27" t="s">
        <v>573</v>
      </c>
      <c r="D236" s="25" t="s">
        <v>39</v>
      </c>
      <c r="E236" s="25" t="s">
        <v>53</v>
      </c>
      <c r="F236" s="25" t="s">
        <v>41</v>
      </c>
      <c r="G236" s="25" t="s">
        <v>42</v>
      </c>
      <c r="H236" s="13" t="s">
        <v>9</v>
      </c>
      <c r="I236" s="14" t="s">
        <v>9</v>
      </c>
      <c r="J236" s="15" t="s">
        <v>10</v>
      </c>
      <c r="K236" s="22" t="s">
        <v>9</v>
      </c>
      <c r="L236" s="12" t="s">
        <v>1</v>
      </c>
      <c r="M236" s="17"/>
    </row>
    <row r="237" spans="1:13">
      <c r="A237" s="11" t="s">
        <v>576</v>
      </c>
      <c r="B237" s="19" t="s">
        <v>574</v>
      </c>
      <c r="C237" s="10" t="s">
        <v>575</v>
      </c>
      <c r="D237" s="12" t="s">
        <v>425</v>
      </c>
      <c r="E237" s="12" t="s">
        <v>35</v>
      </c>
      <c r="F237" s="12" t="s">
        <v>260</v>
      </c>
      <c r="G237" s="12" t="s">
        <v>36</v>
      </c>
      <c r="H237" s="21" t="s">
        <v>10</v>
      </c>
      <c r="I237" s="14" t="s">
        <v>11</v>
      </c>
      <c r="J237" s="15" t="s">
        <v>11</v>
      </c>
      <c r="K237" s="22" t="s">
        <v>11</v>
      </c>
      <c r="L237" s="12" t="s">
        <v>1</v>
      </c>
      <c r="M237" s="17"/>
    </row>
    <row r="238" spans="1:13">
      <c r="A238" s="24" t="s">
        <v>915</v>
      </c>
      <c r="B238" s="23" t="s">
        <v>577</v>
      </c>
      <c r="C238" s="26" t="s">
        <v>578</v>
      </c>
      <c r="D238" s="25" t="s">
        <v>166</v>
      </c>
      <c r="E238" s="25" t="s">
        <v>40</v>
      </c>
      <c r="F238" s="25" t="s">
        <v>12</v>
      </c>
      <c r="G238" s="25" t="s">
        <v>48</v>
      </c>
      <c r="H238" s="21" t="s">
        <v>11</v>
      </c>
      <c r="I238" s="14" t="s">
        <v>11</v>
      </c>
      <c r="J238" s="15" t="s">
        <v>11</v>
      </c>
      <c r="K238" s="22" t="s">
        <v>11</v>
      </c>
      <c r="L238" s="12" t="s">
        <v>1</v>
      </c>
      <c r="M238" s="17"/>
    </row>
    <row r="239" spans="1:13">
      <c r="A239" s="11" t="s">
        <v>916</v>
      </c>
      <c r="B239" s="19" t="s">
        <v>579</v>
      </c>
      <c r="C239" s="10" t="s">
        <v>580</v>
      </c>
      <c r="D239" s="12" t="s">
        <v>581</v>
      </c>
      <c r="E239" s="12" t="s">
        <v>40</v>
      </c>
      <c r="F239" s="12" t="s">
        <v>12</v>
      </c>
      <c r="G239" s="12" t="s">
        <v>42</v>
      </c>
      <c r="H239" s="13" t="s">
        <v>11</v>
      </c>
      <c r="I239" s="14" t="s">
        <v>10</v>
      </c>
      <c r="J239" s="15" t="s">
        <v>11</v>
      </c>
      <c r="K239" s="16" t="s">
        <v>9</v>
      </c>
      <c r="L239" s="12" t="s">
        <v>1</v>
      </c>
      <c r="M239" s="17"/>
    </row>
    <row r="240" spans="1:13" ht="29">
      <c r="A240" s="11" t="s">
        <v>917</v>
      </c>
      <c r="B240" s="19" t="s">
        <v>582</v>
      </c>
      <c r="C240" s="10" t="s">
        <v>583</v>
      </c>
      <c r="D240" s="12" t="s">
        <v>65</v>
      </c>
      <c r="E240" s="12" t="s">
        <v>40</v>
      </c>
      <c r="F240" s="12" t="s">
        <v>66</v>
      </c>
      <c r="G240" s="12" t="s">
        <v>42</v>
      </c>
      <c r="H240" s="21" t="s">
        <v>11</v>
      </c>
      <c r="I240" s="29" t="s">
        <v>11</v>
      </c>
      <c r="J240" s="30" t="s">
        <v>11</v>
      </c>
      <c r="K240" s="16" t="s">
        <v>11</v>
      </c>
      <c r="L240" s="12" t="s">
        <v>1</v>
      </c>
      <c r="M240" s="17"/>
    </row>
    <row r="241" spans="1:13">
      <c r="A241" s="24" t="s">
        <v>918</v>
      </c>
      <c r="B241" s="23" t="s">
        <v>584</v>
      </c>
      <c r="C241" s="31" t="s">
        <v>585</v>
      </c>
      <c r="D241" s="25" t="s">
        <v>182</v>
      </c>
      <c r="E241" s="25" t="s">
        <v>40</v>
      </c>
      <c r="F241" s="25" t="s">
        <v>12</v>
      </c>
      <c r="G241" s="25" t="s">
        <v>42</v>
      </c>
      <c r="H241" s="13" t="s">
        <v>10</v>
      </c>
      <c r="I241" s="14" t="s">
        <v>10</v>
      </c>
      <c r="J241" s="15" t="s">
        <v>10</v>
      </c>
      <c r="K241" s="22" t="s">
        <v>10</v>
      </c>
      <c r="L241" s="12" t="s">
        <v>1</v>
      </c>
      <c r="M241" s="17" t="s">
        <v>586</v>
      </c>
    </row>
    <row r="242" spans="1:13">
      <c r="A242" s="24" t="s">
        <v>919</v>
      </c>
      <c r="B242" s="23" t="s">
        <v>587</v>
      </c>
      <c r="C242" s="20" t="s">
        <v>588</v>
      </c>
      <c r="D242" s="25" t="s">
        <v>65</v>
      </c>
      <c r="E242" s="25" t="s">
        <v>53</v>
      </c>
      <c r="F242" s="25" t="s">
        <v>66</v>
      </c>
      <c r="G242" s="25" t="s">
        <v>42</v>
      </c>
      <c r="H242" s="13" t="s">
        <v>9</v>
      </c>
      <c r="I242" s="14" t="s">
        <v>9</v>
      </c>
      <c r="J242" s="15" t="s">
        <v>10</v>
      </c>
      <c r="K242" s="22" t="s">
        <v>9</v>
      </c>
      <c r="L242" s="12" t="s">
        <v>1</v>
      </c>
      <c r="M242" s="17" t="s">
        <v>176</v>
      </c>
    </row>
    <row r="243" spans="1:13">
      <c r="A243" s="11" t="s">
        <v>920</v>
      </c>
      <c r="B243" s="19" t="s">
        <v>589</v>
      </c>
      <c r="C243" s="10" t="s">
        <v>590</v>
      </c>
      <c r="D243" s="12" t="s">
        <v>502</v>
      </c>
      <c r="E243" s="12" t="s">
        <v>40</v>
      </c>
      <c r="F243" s="12" t="s">
        <v>59</v>
      </c>
      <c r="G243" s="12" t="s">
        <v>48</v>
      </c>
      <c r="H243" s="13" t="s">
        <v>10</v>
      </c>
      <c r="I243" s="29" t="s">
        <v>9</v>
      </c>
      <c r="J243" s="15" t="s">
        <v>10</v>
      </c>
      <c r="K243" s="16" t="s">
        <v>9</v>
      </c>
      <c r="L243" s="12" t="s">
        <v>1</v>
      </c>
      <c r="M243" s="17"/>
    </row>
    <row r="244" spans="1:13">
      <c r="A244" s="11" t="s">
        <v>921</v>
      </c>
      <c r="B244" s="19" t="s">
        <v>591</v>
      </c>
      <c r="C244" s="10" t="s">
        <v>592</v>
      </c>
      <c r="D244" s="12" t="s">
        <v>502</v>
      </c>
      <c r="E244" s="12" t="s">
        <v>40</v>
      </c>
      <c r="F244" s="12" t="s">
        <v>59</v>
      </c>
      <c r="G244" s="12" t="s">
        <v>48</v>
      </c>
      <c r="H244" s="13" t="s">
        <v>10</v>
      </c>
      <c r="I244" s="14" t="s">
        <v>9</v>
      </c>
      <c r="J244" s="15" t="s">
        <v>10</v>
      </c>
      <c r="K244" s="22" t="s">
        <v>9</v>
      </c>
      <c r="L244" s="12" t="s">
        <v>1</v>
      </c>
      <c r="M244" s="17"/>
    </row>
    <row r="245" spans="1:13">
      <c r="A245" s="11" t="s">
        <v>922</v>
      </c>
      <c r="B245" s="19" t="s">
        <v>593</v>
      </c>
      <c r="C245" s="10" t="s">
        <v>594</v>
      </c>
      <c r="D245" s="12" t="s">
        <v>502</v>
      </c>
      <c r="E245" s="12" t="s">
        <v>40</v>
      </c>
      <c r="F245" s="12" t="s">
        <v>59</v>
      </c>
      <c r="G245" s="12" t="s">
        <v>48</v>
      </c>
      <c r="H245" s="13" t="s">
        <v>10</v>
      </c>
      <c r="I245" s="14" t="s">
        <v>9</v>
      </c>
      <c r="J245" s="15" t="s">
        <v>10</v>
      </c>
      <c r="K245" s="22" t="s">
        <v>9</v>
      </c>
      <c r="L245" s="12" t="s">
        <v>1</v>
      </c>
      <c r="M245" s="17"/>
    </row>
    <row r="246" spans="1:13" ht="29">
      <c r="A246" s="11" t="s">
        <v>923</v>
      </c>
      <c r="B246" s="19" t="s">
        <v>595</v>
      </c>
      <c r="C246" s="10" t="s">
        <v>596</v>
      </c>
      <c r="D246" s="12" t="s">
        <v>143</v>
      </c>
      <c r="E246" s="12" t="s">
        <v>53</v>
      </c>
      <c r="F246" s="12" t="s">
        <v>12</v>
      </c>
      <c r="G246" s="12" t="s">
        <v>48</v>
      </c>
      <c r="H246" s="21" t="s">
        <v>11</v>
      </c>
      <c r="I246" s="14" t="s">
        <v>11</v>
      </c>
      <c r="J246" s="15" t="s">
        <v>11</v>
      </c>
      <c r="K246" s="22" t="s">
        <v>11</v>
      </c>
      <c r="L246" s="12" t="s">
        <v>1</v>
      </c>
      <c r="M246" s="17"/>
    </row>
    <row r="247" spans="1:13">
      <c r="A247" s="24" t="s">
        <v>924</v>
      </c>
      <c r="B247" s="23" t="s">
        <v>597</v>
      </c>
      <c r="C247" s="32" t="s">
        <v>598</v>
      </c>
      <c r="D247" s="25" t="s">
        <v>143</v>
      </c>
      <c r="E247" s="25" t="s">
        <v>53</v>
      </c>
      <c r="F247" s="25" t="s">
        <v>12</v>
      </c>
      <c r="G247" s="25" t="s">
        <v>48</v>
      </c>
      <c r="H247" s="13" t="s">
        <v>9</v>
      </c>
      <c r="I247" s="14" t="s">
        <v>9</v>
      </c>
      <c r="J247" s="15" t="s">
        <v>10</v>
      </c>
      <c r="K247" s="22" t="s">
        <v>9</v>
      </c>
      <c r="L247" s="12" t="s">
        <v>1</v>
      </c>
      <c r="M247" s="17"/>
    </row>
    <row r="248" spans="1:13">
      <c r="A248" s="24" t="s">
        <v>925</v>
      </c>
      <c r="B248" s="23" t="s">
        <v>599</v>
      </c>
      <c r="C248" s="32" t="s">
        <v>600</v>
      </c>
      <c r="D248" s="25" t="s">
        <v>39</v>
      </c>
      <c r="E248" s="25" t="s">
        <v>53</v>
      </c>
      <c r="F248" s="25" t="s">
        <v>41</v>
      </c>
      <c r="G248" s="25" t="s">
        <v>42</v>
      </c>
      <c r="H248" s="13" t="s">
        <v>10</v>
      </c>
      <c r="I248" s="14" t="s">
        <v>10</v>
      </c>
      <c r="J248" s="15" t="s">
        <v>11</v>
      </c>
      <c r="K248" s="22" t="s">
        <v>10</v>
      </c>
      <c r="L248" s="12" t="s">
        <v>1</v>
      </c>
      <c r="M248" s="17"/>
    </row>
    <row r="249" spans="1:13">
      <c r="A249" s="11" t="s">
        <v>926</v>
      </c>
      <c r="B249" s="19" t="s">
        <v>601</v>
      </c>
      <c r="C249" s="10" t="s">
        <v>602</v>
      </c>
      <c r="D249" s="12" t="s">
        <v>65</v>
      </c>
      <c r="E249" s="12" t="s">
        <v>40</v>
      </c>
      <c r="F249" s="12" t="s">
        <v>84</v>
      </c>
      <c r="G249" s="12" t="s">
        <v>42</v>
      </c>
      <c r="H249" s="21" t="s">
        <v>11</v>
      </c>
      <c r="I249" s="29" t="s">
        <v>11</v>
      </c>
      <c r="J249" s="15" t="s">
        <v>11</v>
      </c>
      <c r="K249" s="16" t="s">
        <v>11</v>
      </c>
      <c r="L249" s="12" t="s">
        <v>1</v>
      </c>
      <c r="M249" s="17"/>
    </row>
    <row r="250" spans="1:13">
      <c r="A250" s="11" t="s">
        <v>927</v>
      </c>
      <c r="B250" s="19" t="s">
        <v>603</v>
      </c>
      <c r="C250" s="20" t="s">
        <v>604</v>
      </c>
      <c r="D250" s="12" t="s">
        <v>39</v>
      </c>
      <c r="E250" s="12" t="s">
        <v>144</v>
      </c>
      <c r="F250" s="12" t="s">
        <v>41</v>
      </c>
      <c r="G250" s="12" t="s">
        <v>42</v>
      </c>
      <c r="H250" s="21" t="s">
        <v>9</v>
      </c>
      <c r="I250" s="14" t="s">
        <v>9</v>
      </c>
      <c r="J250" s="15" t="s">
        <v>10</v>
      </c>
      <c r="K250" s="22" t="s">
        <v>9</v>
      </c>
      <c r="L250" s="12" t="s">
        <v>1</v>
      </c>
      <c r="M250" s="17" t="s">
        <v>605</v>
      </c>
    </row>
    <row r="251" spans="1:13">
      <c r="A251" s="11" t="s">
        <v>928</v>
      </c>
      <c r="B251" s="19" t="s">
        <v>606</v>
      </c>
      <c r="C251" s="10" t="s">
        <v>607</v>
      </c>
      <c r="D251" s="12" t="s">
        <v>65</v>
      </c>
      <c r="E251" s="12" t="s">
        <v>40</v>
      </c>
      <c r="F251" s="12" t="s">
        <v>66</v>
      </c>
      <c r="G251" s="12" t="s">
        <v>48</v>
      </c>
      <c r="H251" s="21" t="s">
        <v>9</v>
      </c>
      <c r="I251" s="29" t="s">
        <v>11</v>
      </c>
      <c r="J251" s="30" t="s">
        <v>11</v>
      </c>
      <c r="K251" s="16" t="s">
        <v>11</v>
      </c>
      <c r="L251" s="12" t="s">
        <v>1</v>
      </c>
      <c r="M251" s="17" t="s">
        <v>608</v>
      </c>
    </row>
    <row r="252" spans="1:13">
      <c r="A252" s="28" t="s">
        <v>929</v>
      </c>
      <c r="B252" s="23" t="s">
        <v>609</v>
      </c>
      <c r="C252" s="27" t="s">
        <v>610</v>
      </c>
      <c r="D252" s="25" t="s">
        <v>65</v>
      </c>
      <c r="E252" s="25" t="s">
        <v>53</v>
      </c>
      <c r="F252" s="25" t="s">
        <v>66</v>
      </c>
      <c r="G252" s="25" t="s">
        <v>42</v>
      </c>
      <c r="H252" s="13" t="s">
        <v>9</v>
      </c>
      <c r="I252" s="14" t="s">
        <v>9</v>
      </c>
      <c r="J252" s="15" t="s">
        <v>9</v>
      </c>
      <c r="K252" s="22" t="s">
        <v>9</v>
      </c>
      <c r="L252" s="12" t="s">
        <v>1</v>
      </c>
      <c r="M252" s="17"/>
    </row>
    <row r="253" spans="1:13">
      <c r="A253" s="24" t="s">
        <v>930</v>
      </c>
      <c r="B253" s="23" t="s">
        <v>611</v>
      </c>
      <c r="C253" s="26" t="s">
        <v>612</v>
      </c>
      <c r="D253" s="25" t="s">
        <v>143</v>
      </c>
      <c r="E253" s="25" t="s">
        <v>40</v>
      </c>
      <c r="F253" s="25" t="s">
        <v>12</v>
      </c>
      <c r="G253" s="25" t="s">
        <v>42</v>
      </c>
      <c r="H253" s="21" t="s">
        <v>11</v>
      </c>
      <c r="I253" s="14" t="s">
        <v>10</v>
      </c>
      <c r="J253" s="15" t="s">
        <v>11</v>
      </c>
      <c r="K253" s="16" t="s">
        <v>10</v>
      </c>
      <c r="L253" s="12" t="s">
        <v>1</v>
      </c>
      <c r="M253" s="17"/>
    </row>
    <row r="254" spans="1:13">
      <c r="A254" s="24" t="s">
        <v>931</v>
      </c>
      <c r="B254" s="23" t="s">
        <v>613</v>
      </c>
      <c r="C254" s="26" t="s">
        <v>614</v>
      </c>
      <c r="D254" s="25" t="s">
        <v>143</v>
      </c>
      <c r="E254" s="25" t="s">
        <v>40</v>
      </c>
      <c r="F254" s="25" t="s">
        <v>12</v>
      </c>
      <c r="G254" s="25" t="s">
        <v>42</v>
      </c>
      <c r="H254" s="21" t="s">
        <v>11</v>
      </c>
      <c r="I254" s="14" t="s">
        <v>10</v>
      </c>
      <c r="J254" s="15" t="s">
        <v>11</v>
      </c>
      <c r="K254" s="22" t="s">
        <v>10</v>
      </c>
      <c r="L254" s="12" t="s">
        <v>1</v>
      </c>
      <c r="M254" s="17"/>
    </row>
    <row r="255" spans="1:13">
      <c r="A255" s="11" t="s">
        <v>932</v>
      </c>
      <c r="B255" s="19" t="s">
        <v>615</v>
      </c>
      <c r="C255" s="10" t="s">
        <v>616</v>
      </c>
      <c r="D255" s="12" t="s">
        <v>65</v>
      </c>
      <c r="E255" s="12" t="s">
        <v>40</v>
      </c>
      <c r="F255" s="12" t="s">
        <v>84</v>
      </c>
      <c r="G255" s="12" t="s">
        <v>48</v>
      </c>
      <c r="H255" s="21" t="s">
        <v>10</v>
      </c>
      <c r="I255" s="14" t="s">
        <v>10</v>
      </c>
      <c r="J255" s="15" t="s">
        <v>10</v>
      </c>
      <c r="K255" s="22" t="s">
        <v>11</v>
      </c>
      <c r="L255" s="12" t="s">
        <v>1</v>
      </c>
      <c r="M255" s="17"/>
    </row>
    <row r="256" spans="1:13">
      <c r="A256" s="11" t="s">
        <v>933</v>
      </c>
      <c r="B256" s="19" t="s">
        <v>617</v>
      </c>
      <c r="C256" s="20" t="s">
        <v>618</v>
      </c>
      <c r="D256" s="12" t="s">
        <v>39</v>
      </c>
      <c r="E256" s="12" t="s">
        <v>40</v>
      </c>
      <c r="F256" s="12" t="s">
        <v>41</v>
      </c>
      <c r="G256" s="12" t="s">
        <v>48</v>
      </c>
      <c r="H256" s="21" t="s">
        <v>10</v>
      </c>
      <c r="I256" s="29" t="s">
        <v>9</v>
      </c>
      <c r="J256" s="30" t="s">
        <v>10</v>
      </c>
      <c r="K256" s="16" t="s">
        <v>9</v>
      </c>
      <c r="L256" s="12" t="s">
        <v>1</v>
      </c>
      <c r="M256" s="17"/>
    </row>
    <row r="257" spans="1:14">
      <c r="A257" s="11" t="s">
        <v>934</v>
      </c>
      <c r="B257" s="19" t="s">
        <v>619</v>
      </c>
      <c r="C257" s="10" t="s">
        <v>620</v>
      </c>
      <c r="D257" s="12" t="s">
        <v>65</v>
      </c>
      <c r="E257" s="12" t="s">
        <v>40</v>
      </c>
      <c r="F257" s="12" t="s">
        <v>84</v>
      </c>
      <c r="G257" s="12" t="s">
        <v>42</v>
      </c>
      <c r="H257" s="21" t="s">
        <v>9</v>
      </c>
      <c r="I257" s="29" t="s">
        <v>9</v>
      </c>
      <c r="J257" s="30" t="s">
        <v>9</v>
      </c>
      <c r="K257" s="16" t="s">
        <v>9</v>
      </c>
      <c r="L257" s="12" t="s">
        <v>1</v>
      </c>
      <c r="M257" s="17"/>
      <c r="N257" s="74" t="s">
        <v>664</v>
      </c>
    </row>
    <row r="258" spans="1:14">
      <c r="A258" s="11" t="s">
        <v>935</v>
      </c>
      <c r="B258" s="19" t="s">
        <v>621</v>
      </c>
      <c r="C258" s="10" t="s">
        <v>622</v>
      </c>
      <c r="D258" s="12" t="s">
        <v>623</v>
      </c>
      <c r="E258" s="12" t="s">
        <v>40</v>
      </c>
      <c r="F258" s="12" t="s">
        <v>59</v>
      </c>
      <c r="G258" s="12" t="s">
        <v>42</v>
      </c>
      <c r="H258" s="13" t="s">
        <v>11</v>
      </c>
      <c r="I258" s="14" t="s">
        <v>10</v>
      </c>
      <c r="J258" s="15" t="s">
        <v>11</v>
      </c>
      <c r="K258" s="16" t="s">
        <v>9</v>
      </c>
      <c r="L258" s="12" t="s">
        <v>1</v>
      </c>
      <c r="M258" s="17"/>
    </row>
    <row r="259" spans="1:14">
      <c r="A259" s="11" t="s">
        <v>936</v>
      </c>
      <c r="B259" s="19" t="s">
        <v>624</v>
      </c>
      <c r="C259" s="20" t="s">
        <v>625</v>
      </c>
      <c r="D259" s="12" t="s">
        <v>39</v>
      </c>
      <c r="E259" s="12" t="s">
        <v>40</v>
      </c>
      <c r="F259" s="12" t="s">
        <v>41</v>
      </c>
      <c r="G259" s="12" t="s">
        <v>42</v>
      </c>
      <c r="H259" s="21" t="s">
        <v>9</v>
      </c>
      <c r="I259" s="14" t="s">
        <v>9</v>
      </c>
      <c r="J259" s="15" t="s">
        <v>10</v>
      </c>
      <c r="K259" s="22" t="s">
        <v>9</v>
      </c>
      <c r="L259" s="12" t="s">
        <v>1</v>
      </c>
      <c r="M259" s="17" t="s">
        <v>176</v>
      </c>
    </row>
    <row r="260" spans="1:14">
      <c r="A260" s="11" t="s">
        <v>937</v>
      </c>
      <c r="B260" s="19" t="s">
        <v>626</v>
      </c>
      <c r="C260" s="20" t="s">
        <v>627</v>
      </c>
      <c r="D260" s="12" t="s">
        <v>39</v>
      </c>
      <c r="E260" s="12" t="s">
        <v>40</v>
      </c>
      <c r="F260" s="12" t="s">
        <v>41</v>
      </c>
      <c r="G260" s="12" t="s">
        <v>42</v>
      </c>
      <c r="H260" s="21" t="s">
        <v>9</v>
      </c>
      <c r="I260" s="29" t="s">
        <v>9</v>
      </c>
      <c r="J260" s="30" t="s">
        <v>9</v>
      </c>
      <c r="K260" s="16" t="s">
        <v>9</v>
      </c>
      <c r="L260" s="12" t="s">
        <v>1</v>
      </c>
      <c r="M260" s="17" t="s">
        <v>176</v>
      </c>
    </row>
    <row r="261" spans="1:14" ht="29">
      <c r="A261" s="11" t="s">
        <v>938</v>
      </c>
      <c r="B261" s="19" t="s">
        <v>628</v>
      </c>
      <c r="C261" s="20" t="s">
        <v>629</v>
      </c>
      <c r="D261" s="12" t="s">
        <v>39</v>
      </c>
      <c r="E261" s="12" t="s">
        <v>53</v>
      </c>
      <c r="F261" s="12" t="s">
        <v>41</v>
      </c>
      <c r="G261" s="12" t="s">
        <v>48</v>
      </c>
      <c r="H261" s="21" t="s">
        <v>10</v>
      </c>
      <c r="I261" s="14" t="s">
        <v>9</v>
      </c>
      <c r="J261" s="15" t="s">
        <v>10</v>
      </c>
      <c r="K261" s="22" t="s">
        <v>9</v>
      </c>
      <c r="L261" s="12" t="s">
        <v>1</v>
      </c>
      <c r="M261" s="17"/>
    </row>
    <row r="262" spans="1:14">
      <c r="A262" s="11" t="s">
        <v>939</v>
      </c>
      <c r="B262" s="19" t="s">
        <v>630</v>
      </c>
      <c r="C262" s="10" t="s">
        <v>631</v>
      </c>
      <c r="D262" s="12" t="s">
        <v>65</v>
      </c>
      <c r="E262" s="12" t="s">
        <v>53</v>
      </c>
      <c r="F262" s="12" t="s">
        <v>84</v>
      </c>
      <c r="G262" s="12" t="s">
        <v>42</v>
      </c>
      <c r="H262" s="21" t="s">
        <v>9</v>
      </c>
      <c r="I262" s="29" t="s">
        <v>9</v>
      </c>
      <c r="J262" s="30" t="s">
        <v>9</v>
      </c>
      <c r="K262" s="16" t="s">
        <v>9</v>
      </c>
      <c r="L262" s="12" t="s">
        <v>1</v>
      </c>
      <c r="M262" s="17"/>
    </row>
    <row r="263" spans="1:14">
      <c r="A263" s="24" t="s">
        <v>940</v>
      </c>
      <c r="B263" s="23" t="s">
        <v>412</v>
      </c>
      <c r="C263" s="31" t="s">
        <v>632</v>
      </c>
      <c r="D263" s="25" t="s">
        <v>117</v>
      </c>
      <c r="E263" s="25" t="s">
        <v>53</v>
      </c>
      <c r="F263" s="25" t="s">
        <v>12</v>
      </c>
      <c r="G263" s="25" t="s">
        <v>42</v>
      </c>
      <c r="H263" s="13" t="s">
        <v>9</v>
      </c>
      <c r="I263" s="29" t="s">
        <v>9</v>
      </c>
      <c r="J263" s="15" t="s">
        <v>10</v>
      </c>
      <c r="K263" s="16" t="s">
        <v>9</v>
      </c>
      <c r="L263" s="12" t="s">
        <v>1</v>
      </c>
      <c r="M263" s="17"/>
    </row>
    <row r="264" spans="1:14">
      <c r="A264" s="11" t="s">
        <v>941</v>
      </c>
      <c r="B264" s="19" t="s">
        <v>633</v>
      </c>
      <c r="C264" s="10" t="s">
        <v>634</v>
      </c>
      <c r="D264" s="12" t="s">
        <v>65</v>
      </c>
      <c r="E264" s="12" t="s">
        <v>40</v>
      </c>
      <c r="F264" s="12" t="s">
        <v>84</v>
      </c>
      <c r="G264" s="12" t="s">
        <v>42</v>
      </c>
      <c r="H264" s="21" t="s">
        <v>11</v>
      </c>
      <c r="I264" s="14" t="s">
        <v>11</v>
      </c>
      <c r="J264" s="15" t="s">
        <v>11</v>
      </c>
      <c r="K264" s="22" t="s">
        <v>11</v>
      </c>
      <c r="L264" s="12" t="s">
        <v>1</v>
      </c>
      <c r="M264" s="17"/>
    </row>
    <row r="265" spans="1:14" ht="29">
      <c r="A265" s="11" t="s">
        <v>942</v>
      </c>
      <c r="B265" s="19" t="s">
        <v>635</v>
      </c>
      <c r="C265" s="20" t="s">
        <v>636</v>
      </c>
      <c r="D265" s="12" t="s">
        <v>39</v>
      </c>
      <c r="E265" s="12" t="s">
        <v>40</v>
      </c>
      <c r="F265" s="12" t="s">
        <v>41</v>
      </c>
      <c r="G265" s="12" t="s">
        <v>48</v>
      </c>
      <c r="H265" s="21" t="s">
        <v>9</v>
      </c>
      <c r="I265" s="14" t="s">
        <v>9</v>
      </c>
      <c r="J265" s="15" t="s">
        <v>10</v>
      </c>
      <c r="K265" s="22" t="s">
        <v>9</v>
      </c>
      <c r="L265" s="12" t="s">
        <v>1</v>
      </c>
      <c r="M265" s="17"/>
    </row>
    <row r="266" spans="1:14" ht="29">
      <c r="A266" s="28" t="s">
        <v>943</v>
      </c>
      <c r="B266" s="23" t="s">
        <v>637</v>
      </c>
      <c r="C266" s="27" t="s">
        <v>638</v>
      </c>
      <c r="D266" s="25" t="s">
        <v>39</v>
      </c>
      <c r="E266" s="25" t="s">
        <v>53</v>
      </c>
      <c r="F266" s="25" t="s">
        <v>41</v>
      </c>
      <c r="G266" s="25" t="s">
        <v>42</v>
      </c>
      <c r="H266" s="13" t="s">
        <v>9</v>
      </c>
      <c r="I266" s="14" t="s">
        <v>9</v>
      </c>
      <c r="J266" s="15" t="s">
        <v>10</v>
      </c>
      <c r="K266" s="22" t="s">
        <v>9</v>
      </c>
      <c r="L266" s="12" t="s">
        <v>1</v>
      </c>
      <c r="M266" s="17"/>
    </row>
    <row r="267" spans="1:14">
      <c r="A267" s="11" t="s">
        <v>944</v>
      </c>
      <c r="B267" s="19" t="s">
        <v>639</v>
      </c>
      <c r="C267" s="20" t="s">
        <v>640</v>
      </c>
      <c r="D267" s="12" t="s">
        <v>39</v>
      </c>
      <c r="E267" s="12" t="s">
        <v>53</v>
      </c>
      <c r="F267" s="12" t="s">
        <v>41</v>
      </c>
      <c r="G267" s="12" t="s">
        <v>42</v>
      </c>
      <c r="H267" s="21" t="s">
        <v>9</v>
      </c>
      <c r="I267" s="14" t="s">
        <v>9</v>
      </c>
      <c r="J267" s="15" t="s">
        <v>10</v>
      </c>
      <c r="K267" s="22" t="s">
        <v>9</v>
      </c>
      <c r="L267" s="12" t="s">
        <v>1</v>
      </c>
      <c r="M267" s="17"/>
    </row>
    <row r="268" spans="1:14">
      <c r="A268" s="11" t="s">
        <v>945</v>
      </c>
      <c r="B268" s="19" t="s">
        <v>641</v>
      </c>
      <c r="C268" s="10" t="s">
        <v>642</v>
      </c>
      <c r="D268" s="12" t="s">
        <v>39</v>
      </c>
      <c r="E268" s="12" t="s">
        <v>40</v>
      </c>
      <c r="F268" s="12" t="s">
        <v>41</v>
      </c>
      <c r="G268" s="12" t="s">
        <v>42</v>
      </c>
      <c r="H268" s="13" t="s">
        <v>10</v>
      </c>
      <c r="I268" s="14" t="s">
        <v>10</v>
      </c>
      <c r="J268" s="15" t="s">
        <v>11</v>
      </c>
      <c r="K268" s="16" t="s">
        <v>9</v>
      </c>
      <c r="L268" s="12" t="s">
        <v>1</v>
      </c>
      <c r="M268" s="17"/>
    </row>
    <row r="269" spans="1:14">
      <c r="A269" s="11" t="s">
        <v>946</v>
      </c>
      <c r="B269" s="19" t="s">
        <v>643</v>
      </c>
      <c r="C269" s="20" t="s">
        <v>644</v>
      </c>
      <c r="D269" s="12" t="s">
        <v>39</v>
      </c>
      <c r="E269" s="12" t="s">
        <v>144</v>
      </c>
      <c r="F269" s="12" t="s">
        <v>41</v>
      </c>
      <c r="G269" s="12" t="s">
        <v>42</v>
      </c>
      <c r="H269" s="21" t="s">
        <v>9</v>
      </c>
      <c r="I269" s="14" t="s">
        <v>9</v>
      </c>
      <c r="J269" s="15" t="s">
        <v>10</v>
      </c>
      <c r="K269" s="22" t="s">
        <v>9</v>
      </c>
      <c r="L269" s="12" t="s">
        <v>1</v>
      </c>
      <c r="M269" s="17"/>
    </row>
    <row r="270" spans="1:14">
      <c r="A270" s="11" t="s">
        <v>947</v>
      </c>
      <c r="B270" s="19" t="s">
        <v>645</v>
      </c>
      <c r="C270" s="10" t="s">
        <v>646</v>
      </c>
      <c r="D270" s="12" t="s">
        <v>313</v>
      </c>
      <c r="E270" s="12" t="s">
        <v>40</v>
      </c>
      <c r="F270" s="12" t="s">
        <v>59</v>
      </c>
      <c r="G270" s="12" t="s">
        <v>48</v>
      </c>
      <c r="H270" s="13" t="s">
        <v>11</v>
      </c>
      <c r="I270" s="14" t="s">
        <v>11</v>
      </c>
      <c r="J270" s="15" t="s">
        <v>11</v>
      </c>
      <c r="K270" s="16" t="s">
        <v>11</v>
      </c>
      <c r="L270" s="12" t="s">
        <v>1</v>
      </c>
      <c r="M270" s="17"/>
    </row>
    <row r="271" spans="1:14">
      <c r="A271" s="11" t="s">
        <v>948</v>
      </c>
      <c r="B271" s="19" t="s">
        <v>647</v>
      </c>
      <c r="C271" s="10" t="s">
        <v>648</v>
      </c>
      <c r="D271" s="12" t="s">
        <v>65</v>
      </c>
      <c r="E271" s="12" t="s">
        <v>53</v>
      </c>
      <c r="F271" s="12" t="s">
        <v>84</v>
      </c>
      <c r="G271" s="12" t="s">
        <v>42</v>
      </c>
      <c r="H271" s="21" t="s">
        <v>9</v>
      </c>
      <c r="I271" s="29" t="s">
        <v>9</v>
      </c>
      <c r="J271" s="30" t="s">
        <v>9</v>
      </c>
      <c r="K271" s="16" t="s">
        <v>9</v>
      </c>
      <c r="L271" s="12" t="s">
        <v>1</v>
      </c>
      <c r="M271" s="17"/>
    </row>
    <row r="272" spans="1:14">
      <c r="A272" s="24" t="s">
        <v>949</v>
      </c>
      <c r="B272" s="23" t="s">
        <v>649</v>
      </c>
      <c r="C272" s="10" t="s">
        <v>650</v>
      </c>
      <c r="D272" s="25" t="s">
        <v>65</v>
      </c>
      <c r="E272" s="25" t="s">
        <v>40</v>
      </c>
      <c r="F272" s="25" t="s">
        <v>84</v>
      </c>
      <c r="G272" s="25" t="s">
        <v>48</v>
      </c>
      <c r="H272" s="13" t="s">
        <v>9</v>
      </c>
      <c r="I272" s="14" t="s">
        <v>9</v>
      </c>
      <c r="J272" s="15" t="s">
        <v>9</v>
      </c>
      <c r="K272" s="22" t="s">
        <v>9</v>
      </c>
      <c r="L272" s="12" t="s">
        <v>1</v>
      </c>
      <c r="M272" s="17"/>
    </row>
    <row r="273" spans="1:13">
      <c r="A273" s="24" t="s">
        <v>950</v>
      </c>
      <c r="B273" s="23" t="s">
        <v>651</v>
      </c>
      <c r="C273" s="10" t="s">
        <v>652</v>
      </c>
      <c r="D273" s="25" t="s">
        <v>65</v>
      </c>
      <c r="E273" s="25" t="s">
        <v>40</v>
      </c>
      <c r="F273" s="25" t="s">
        <v>84</v>
      </c>
      <c r="G273" s="25" t="s">
        <v>48</v>
      </c>
      <c r="H273" s="13" t="s">
        <v>9</v>
      </c>
      <c r="I273" s="14" t="s">
        <v>9</v>
      </c>
      <c r="J273" s="15" t="s">
        <v>9</v>
      </c>
      <c r="K273" s="22" t="s">
        <v>9</v>
      </c>
      <c r="L273" s="12" t="s">
        <v>1</v>
      </c>
      <c r="M273" s="17"/>
    </row>
    <row r="274" spans="1:13">
      <c r="A274" s="24" t="s">
        <v>951</v>
      </c>
      <c r="B274" s="23" t="s">
        <v>653</v>
      </c>
      <c r="C274" s="10" t="s">
        <v>654</v>
      </c>
      <c r="D274" s="25" t="s">
        <v>65</v>
      </c>
      <c r="E274" s="25" t="s">
        <v>40</v>
      </c>
      <c r="F274" s="25" t="s">
        <v>84</v>
      </c>
      <c r="G274" s="25" t="s">
        <v>48</v>
      </c>
      <c r="H274" s="13" t="s">
        <v>9</v>
      </c>
      <c r="I274" s="14" t="s">
        <v>9</v>
      </c>
      <c r="J274" s="15" t="s">
        <v>9</v>
      </c>
      <c r="K274" s="22" t="s">
        <v>9</v>
      </c>
      <c r="L274" s="12" t="s">
        <v>1</v>
      </c>
      <c r="M274" s="17"/>
    </row>
    <row r="275" spans="1:13">
      <c r="A275" s="11" t="s">
        <v>952</v>
      </c>
      <c r="B275" s="19" t="s">
        <v>655</v>
      </c>
      <c r="C275" s="10" t="s">
        <v>656</v>
      </c>
      <c r="D275" s="12" t="s">
        <v>657</v>
      </c>
      <c r="E275" s="12" t="s">
        <v>40</v>
      </c>
      <c r="F275" s="12" t="s">
        <v>59</v>
      </c>
      <c r="G275" s="12" t="s">
        <v>35</v>
      </c>
      <c r="H275" s="13" t="s">
        <v>10</v>
      </c>
      <c r="I275" s="14" t="s">
        <v>9</v>
      </c>
      <c r="J275" s="15" t="s">
        <v>10</v>
      </c>
      <c r="K275" s="16" t="s">
        <v>9</v>
      </c>
      <c r="L275" s="12" t="s">
        <v>1</v>
      </c>
      <c r="M275" s="17"/>
    </row>
    <row r="276" spans="1:13">
      <c r="A276" s="11" t="s">
        <v>953</v>
      </c>
      <c r="B276" s="19" t="s">
        <v>658</v>
      </c>
      <c r="C276" s="10" t="s">
        <v>659</v>
      </c>
      <c r="D276" s="12" t="s">
        <v>143</v>
      </c>
      <c r="E276" s="12" t="s">
        <v>40</v>
      </c>
      <c r="F276" s="12" t="s">
        <v>12</v>
      </c>
      <c r="G276" s="12" t="s">
        <v>48</v>
      </c>
      <c r="H276" s="13" t="s">
        <v>11</v>
      </c>
      <c r="I276" s="14" t="s">
        <v>11</v>
      </c>
      <c r="J276" s="15" t="s">
        <v>11</v>
      </c>
      <c r="K276" s="16" t="s">
        <v>11</v>
      </c>
      <c r="L276" s="12" t="s">
        <v>1</v>
      </c>
      <c r="M276" s="17"/>
    </row>
    <row r="277" spans="1:13">
      <c r="A277" s="11" t="s">
        <v>954</v>
      </c>
      <c r="B277" s="19" t="s">
        <v>660</v>
      </c>
      <c r="C277" s="10" t="s">
        <v>661</v>
      </c>
      <c r="D277" s="12" t="s">
        <v>65</v>
      </c>
      <c r="E277" s="12" t="s">
        <v>53</v>
      </c>
      <c r="F277" s="12" t="s">
        <v>66</v>
      </c>
      <c r="G277" s="12" t="s">
        <v>48</v>
      </c>
      <c r="H277" s="21" t="s">
        <v>10</v>
      </c>
      <c r="I277" s="29" t="s">
        <v>10</v>
      </c>
      <c r="J277" s="30" t="s">
        <v>10</v>
      </c>
      <c r="K277" s="16" t="s">
        <v>11</v>
      </c>
      <c r="L277" s="12" t="s">
        <v>1</v>
      </c>
      <c r="M277" s="17"/>
    </row>
    <row r="278" spans="1:13">
      <c r="A278" s="24" t="s">
        <v>955</v>
      </c>
      <c r="B278" s="23" t="s">
        <v>662</v>
      </c>
      <c r="C278" s="31" t="s">
        <v>663</v>
      </c>
      <c r="D278" s="25" t="s">
        <v>117</v>
      </c>
      <c r="E278" s="25" t="s">
        <v>144</v>
      </c>
      <c r="F278" s="25" t="s">
        <v>12</v>
      </c>
      <c r="G278" s="25" t="s">
        <v>42</v>
      </c>
      <c r="H278" s="13" t="s">
        <v>10</v>
      </c>
      <c r="I278" s="14" t="s">
        <v>9</v>
      </c>
      <c r="J278" s="15" t="s">
        <v>10</v>
      </c>
      <c r="K278" s="22" t="s">
        <v>9</v>
      </c>
      <c r="L278" s="12" t="s">
        <v>1</v>
      </c>
      <c r="M278" s="17"/>
    </row>
    <row r="279" spans="1:13">
      <c r="A279" s="36" t="s">
        <v>956</v>
      </c>
      <c r="C279" s="36"/>
      <c r="D279" s="8"/>
      <c r="E279" s="8"/>
      <c r="F279" s="8"/>
      <c r="G279" s="8"/>
      <c r="H279" s="8"/>
      <c r="I279" s="8"/>
      <c r="J279" s="8"/>
      <c r="K279" s="8"/>
      <c r="L279" s="8"/>
      <c r="M279" s="17"/>
    </row>
    <row r="280" spans="1:13">
      <c r="A280" s="36" t="s">
        <v>956</v>
      </c>
      <c r="C280" s="36"/>
      <c r="D280" s="8"/>
      <c r="E280" s="8"/>
      <c r="F280" s="8"/>
      <c r="G280" s="8"/>
      <c r="H280" s="8"/>
      <c r="I280" s="8"/>
      <c r="J280" s="8"/>
      <c r="K280" s="8"/>
      <c r="L280" s="8"/>
      <c r="M280" s="17"/>
    </row>
    <row r="281" spans="1:13">
      <c r="A281" s="36" t="s">
        <v>956</v>
      </c>
      <c r="C281" s="36"/>
      <c r="D281" s="8"/>
      <c r="E281" s="8"/>
      <c r="F281" s="8"/>
      <c r="G281" s="8"/>
      <c r="H281" s="8"/>
      <c r="I281" s="8"/>
      <c r="J281" s="8"/>
      <c r="K281" s="8"/>
      <c r="L281" s="8"/>
      <c r="M281" s="17"/>
    </row>
    <row r="282" spans="1:13">
      <c r="A282" s="36" t="s">
        <v>956</v>
      </c>
      <c r="C282" s="36"/>
      <c r="D282" s="8"/>
      <c r="E282" s="8"/>
      <c r="F282" s="8"/>
      <c r="G282" s="8"/>
      <c r="H282" s="8"/>
      <c r="I282" s="8"/>
      <c r="J282" s="8"/>
      <c r="K282" s="8"/>
      <c r="L282" s="8"/>
      <c r="M282" s="17"/>
    </row>
    <row r="283" spans="1:13">
      <c r="A283" s="36" t="s">
        <v>956</v>
      </c>
      <c r="C283" s="36"/>
      <c r="D283" s="8"/>
      <c r="E283" s="8"/>
      <c r="F283" s="8"/>
      <c r="G283" s="8"/>
      <c r="H283" s="8"/>
      <c r="I283" s="8"/>
      <c r="J283" s="8"/>
      <c r="K283" s="8"/>
      <c r="L283" s="8"/>
      <c r="M283" s="17"/>
    </row>
    <row r="284" spans="1:13">
      <c r="A284" s="36" t="s">
        <v>956</v>
      </c>
      <c r="C284" s="36"/>
      <c r="D284" s="8"/>
      <c r="E284" s="8"/>
      <c r="F284" s="8"/>
      <c r="G284" s="8"/>
      <c r="H284" s="8"/>
      <c r="I284" s="8"/>
      <c r="J284" s="8"/>
      <c r="K284" s="8"/>
      <c r="L284" s="8"/>
      <c r="M284" s="17"/>
    </row>
    <row r="285" spans="1:13">
      <c r="A285" s="36" t="s">
        <v>956</v>
      </c>
      <c r="C285" s="36"/>
      <c r="D285" s="8"/>
      <c r="E285" s="8"/>
      <c r="F285" s="8"/>
      <c r="G285" s="8"/>
      <c r="H285" s="8"/>
      <c r="I285" s="8"/>
      <c r="J285" s="8"/>
      <c r="K285" s="8"/>
      <c r="L285" s="8"/>
      <c r="M285" s="17"/>
    </row>
    <row r="286" spans="1:13">
      <c r="A286" s="36" t="s">
        <v>956</v>
      </c>
      <c r="C286" s="36"/>
      <c r="D286" s="8"/>
      <c r="E286" s="8"/>
      <c r="F286" s="8"/>
      <c r="G286" s="8"/>
      <c r="H286" s="8"/>
      <c r="I286" s="8"/>
      <c r="J286" s="8"/>
      <c r="K286" s="8"/>
      <c r="L286" s="8"/>
      <c r="M286" s="17"/>
    </row>
    <row r="287" spans="1:13">
      <c r="A287" s="36" t="s">
        <v>956</v>
      </c>
      <c r="C287" s="36"/>
      <c r="D287" s="8"/>
      <c r="E287" s="8"/>
      <c r="F287" s="8"/>
      <c r="G287" s="8"/>
      <c r="H287" s="8"/>
      <c r="I287" s="8"/>
      <c r="J287" s="8"/>
      <c r="K287" s="8"/>
      <c r="L287" s="8"/>
      <c r="M287" s="17"/>
    </row>
    <row r="288" spans="1:13">
      <c r="A288" s="36" t="s">
        <v>956</v>
      </c>
      <c r="C288" s="36"/>
      <c r="D288" s="8"/>
      <c r="E288" s="8"/>
      <c r="F288" s="8"/>
      <c r="G288" s="8"/>
      <c r="H288" s="8"/>
      <c r="I288" s="8"/>
      <c r="J288" s="8"/>
      <c r="K288" s="8"/>
      <c r="L288" s="8"/>
      <c r="M288" s="17"/>
    </row>
    <row r="289" spans="1:13">
      <c r="A289" s="36" t="s">
        <v>956</v>
      </c>
      <c r="C289" s="36"/>
      <c r="D289" s="8"/>
      <c r="E289" s="8"/>
      <c r="F289" s="8"/>
      <c r="G289" s="8"/>
      <c r="H289" s="8"/>
      <c r="I289" s="8"/>
      <c r="J289" s="8"/>
      <c r="K289" s="8"/>
      <c r="L289" s="8"/>
      <c r="M289" s="17"/>
    </row>
    <row r="290" spans="1:13">
      <c r="A290" s="36" t="s">
        <v>956</v>
      </c>
      <c r="C290" s="36"/>
      <c r="D290" s="8"/>
      <c r="E290" s="8"/>
      <c r="F290" s="8"/>
      <c r="G290" s="8"/>
      <c r="H290" s="8"/>
      <c r="I290" s="8"/>
      <c r="J290" s="8"/>
      <c r="K290" s="8"/>
      <c r="L290" s="8"/>
      <c r="M290" s="17"/>
    </row>
    <row r="291" spans="1:13">
      <c r="A291" s="36" t="s">
        <v>956</v>
      </c>
      <c r="C291" s="36"/>
      <c r="D291" s="8"/>
      <c r="E291" s="8"/>
      <c r="F291" s="8"/>
      <c r="G291" s="8"/>
      <c r="H291" s="8"/>
      <c r="I291" s="8"/>
      <c r="J291" s="8"/>
      <c r="K291" s="8"/>
      <c r="L291" s="8"/>
      <c r="M291" s="17"/>
    </row>
    <row r="292" spans="1:13">
      <c r="A292" s="36" t="s">
        <v>956</v>
      </c>
      <c r="C292" s="36"/>
      <c r="D292" s="8"/>
      <c r="E292" s="8"/>
      <c r="F292" s="8"/>
      <c r="G292" s="8"/>
      <c r="H292" s="8"/>
      <c r="I292" s="8"/>
      <c r="J292" s="8"/>
      <c r="K292" s="8"/>
      <c r="L292" s="8"/>
      <c r="M292" s="17"/>
    </row>
    <row r="293" spans="1:13">
      <c r="A293" s="36"/>
      <c r="C293" s="36"/>
      <c r="D293" s="8"/>
      <c r="E293" s="8"/>
      <c r="F293" s="8"/>
      <c r="G293" s="8"/>
      <c r="H293" s="8"/>
      <c r="I293" s="8"/>
      <c r="J293" s="8"/>
      <c r="K293" s="8"/>
      <c r="L293" s="8"/>
      <c r="M293" s="17"/>
    </row>
    <row r="294" spans="1:13">
      <c r="A294" s="36"/>
      <c r="C294" s="36"/>
      <c r="D294" s="8"/>
      <c r="E294" s="8"/>
      <c r="F294" s="8"/>
      <c r="G294" s="8"/>
      <c r="H294" s="8"/>
      <c r="I294" s="8"/>
      <c r="J294" s="8"/>
      <c r="K294" s="8"/>
      <c r="L294" s="8"/>
      <c r="M294" s="17"/>
    </row>
    <row r="295" spans="1:13">
      <c r="A295" s="36"/>
      <c r="C295" s="36"/>
      <c r="D295" s="8"/>
      <c r="E295" s="8"/>
      <c r="F295" s="8"/>
      <c r="G295" s="8"/>
      <c r="H295" s="8"/>
      <c r="I295" s="8"/>
      <c r="J295" s="8"/>
      <c r="K295" s="8"/>
      <c r="L295" s="8"/>
      <c r="M295" s="17"/>
    </row>
    <row r="296" spans="1:13">
      <c r="A296" s="36"/>
      <c r="C296" s="36"/>
      <c r="D296" s="8"/>
      <c r="E296" s="8"/>
      <c r="F296" s="8"/>
      <c r="G296" s="8"/>
      <c r="H296" s="8"/>
      <c r="I296" s="8"/>
      <c r="J296" s="8"/>
      <c r="K296" s="8"/>
      <c r="L296" s="8"/>
      <c r="M296" s="17"/>
    </row>
    <row r="297" spans="1:13">
      <c r="A297" s="36"/>
      <c r="C297" s="36"/>
      <c r="D297" s="8"/>
      <c r="E297" s="8"/>
      <c r="F297" s="8"/>
      <c r="G297" s="8"/>
      <c r="H297" s="8"/>
      <c r="I297" s="8"/>
      <c r="J297" s="8"/>
      <c r="K297" s="8"/>
      <c r="L297" s="8"/>
      <c r="M297" s="17"/>
    </row>
    <row r="298" spans="1:13">
      <c r="A298" s="36"/>
      <c r="C298" s="36"/>
      <c r="D298" s="8"/>
      <c r="E298" s="8"/>
      <c r="F298" s="8"/>
      <c r="G298" s="8"/>
      <c r="H298" s="8"/>
      <c r="I298" s="8"/>
      <c r="J298" s="8"/>
      <c r="K298" s="8"/>
      <c r="L298" s="8"/>
      <c r="M298" s="17"/>
    </row>
    <row r="299" spans="1:13">
      <c r="A299" s="36"/>
      <c r="C299" s="36"/>
      <c r="D299" s="8"/>
      <c r="E299" s="8"/>
      <c r="F299" s="8"/>
      <c r="G299" s="8"/>
      <c r="H299" s="8"/>
      <c r="I299" s="8"/>
      <c r="J299" s="8"/>
      <c r="K299" s="8"/>
      <c r="L299" s="8"/>
      <c r="M299" s="17"/>
    </row>
    <row r="300" spans="1:13">
      <c r="A300" s="36"/>
      <c r="C300" s="36"/>
      <c r="D300" s="8"/>
      <c r="E300" s="8"/>
      <c r="F300" s="8"/>
      <c r="G300" s="8"/>
      <c r="H300" s="8"/>
      <c r="I300" s="8"/>
      <c r="J300" s="8"/>
      <c r="K300" s="8"/>
      <c r="L300" s="8"/>
      <c r="M300" s="17"/>
    </row>
    <row r="301" spans="1:13">
      <c r="A301" s="36"/>
      <c r="C301" s="36"/>
      <c r="D301" s="8"/>
      <c r="E301" s="8"/>
      <c r="F301" s="8"/>
      <c r="G301" s="8"/>
      <c r="H301" s="8"/>
      <c r="I301" s="8"/>
      <c r="J301" s="8"/>
      <c r="K301" s="8"/>
      <c r="L301" s="8"/>
      <c r="M301" s="17"/>
    </row>
    <row r="302" spans="1:13">
      <c r="A302" s="36"/>
      <c r="C302" s="36"/>
      <c r="D302" s="8"/>
      <c r="E302" s="8"/>
      <c r="F302" s="8"/>
      <c r="G302" s="8"/>
      <c r="H302" s="8"/>
      <c r="I302" s="8"/>
      <c r="J302" s="8"/>
      <c r="K302" s="8"/>
      <c r="L302" s="8"/>
      <c r="M302" s="17"/>
    </row>
    <row r="303" spans="1:13">
      <c r="A303" s="36"/>
      <c r="C303" s="36"/>
      <c r="D303" s="8"/>
      <c r="E303" s="8"/>
      <c r="F303" s="8"/>
      <c r="G303" s="8"/>
      <c r="H303" s="8"/>
      <c r="I303" s="8"/>
      <c r="J303" s="8"/>
      <c r="K303" s="8"/>
      <c r="L303" s="8"/>
      <c r="M303" s="17"/>
    </row>
    <row r="304" spans="1:13">
      <c r="A304" s="36"/>
      <c r="C304" s="36"/>
      <c r="D304" s="8"/>
      <c r="E304" s="8"/>
      <c r="F304" s="8"/>
      <c r="G304" s="8"/>
      <c r="H304" s="8"/>
      <c r="I304" s="8"/>
      <c r="J304" s="8"/>
      <c r="K304" s="8"/>
      <c r="L304" s="8"/>
      <c r="M304" s="17"/>
    </row>
    <row r="305" spans="1:13">
      <c r="A305" s="36"/>
      <c r="C305" s="36"/>
      <c r="D305" s="8"/>
      <c r="E305" s="8"/>
      <c r="F305" s="8"/>
      <c r="G305" s="8"/>
      <c r="H305" s="8"/>
      <c r="I305" s="8"/>
      <c r="J305" s="8"/>
      <c r="K305" s="8"/>
      <c r="L305" s="8"/>
      <c r="M305" s="17"/>
    </row>
    <row r="306" spans="1:13">
      <c r="A306" s="36"/>
      <c r="C306" s="36"/>
      <c r="D306" s="8"/>
      <c r="E306" s="8"/>
      <c r="F306" s="8"/>
      <c r="G306" s="8"/>
      <c r="H306" s="8"/>
      <c r="I306" s="8"/>
      <c r="J306" s="8"/>
      <c r="K306" s="8"/>
      <c r="L306" s="8"/>
      <c r="M306" s="17"/>
    </row>
    <row r="307" spans="1:13">
      <c r="A307" s="36"/>
      <c r="C307" s="36"/>
      <c r="D307" s="8"/>
      <c r="E307" s="8"/>
      <c r="F307" s="8"/>
      <c r="G307" s="8"/>
      <c r="H307" s="8"/>
      <c r="I307" s="8"/>
      <c r="J307" s="8"/>
      <c r="K307" s="8"/>
      <c r="L307" s="8"/>
      <c r="M307" s="17"/>
    </row>
    <row r="308" spans="1:13">
      <c r="A308" s="36"/>
      <c r="C308" s="36"/>
      <c r="D308" s="8"/>
      <c r="E308" s="8"/>
      <c r="F308" s="8"/>
      <c r="G308" s="8"/>
      <c r="H308" s="8"/>
      <c r="I308" s="8"/>
      <c r="J308" s="8"/>
      <c r="K308" s="8"/>
      <c r="L308" s="8"/>
      <c r="M308" s="17"/>
    </row>
    <row r="309" spans="1:13">
      <c r="A309" s="36"/>
      <c r="C309" s="36"/>
      <c r="D309" s="8"/>
      <c r="E309" s="8"/>
      <c r="F309" s="8"/>
      <c r="G309" s="8"/>
      <c r="H309" s="8"/>
      <c r="I309" s="8"/>
      <c r="J309" s="8"/>
      <c r="K309" s="8"/>
      <c r="L309" s="8"/>
      <c r="M309" s="17"/>
    </row>
    <row r="310" spans="1:13">
      <c r="A310" s="36"/>
      <c r="C310" s="36"/>
      <c r="D310" s="8"/>
      <c r="E310" s="8"/>
      <c r="F310" s="8"/>
      <c r="G310" s="8"/>
      <c r="H310" s="8"/>
      <c r="I310" s="8"/>
      <c r="J310" s="8"/>
      <c r="K310" s="8"/>
      <c r="L310" s="8"/>
      <c r="M310" s="17"/>
    </row>
    <row r="311" spans="1:13">
      <c r="A311" s="36"/>
      <c r="C311" s="36"/>
      <c r="D311" s="8"/>
      <c r="E311" s="8"/>
      <c r="F311" s="8"/>
      <c r="G311" s="8"/>
      <c r="H311" s="8"/>
      <c r="I311" s="8"/>
      <c r="J311" s="8"/>
      <c r="K311" s="8"/>
      <c r="L311" s="8"/>
      <c r="M311" s="17"/>
    </row>
    <row r="312" spans="1:13">
      <c r="A312" s="36"/>
      <c r="C312" s="36"/>
      <c r="D312" s="8"/>
      <c r="E312" s="8"/>
      <c r="F312" s="8"/>
      <c r="G312" s="8"/>
      <c r="H312" s="8"/>
      <c r="I312" s="8"/>
      <c r="J312" s="8"/>
      <c r="K312" s="8"/>
      <c r="L312" s="8"/>
      <c r="M312" s="17"/>
    </row>
    <row r="313" spans="1:13">
      <c r="A313" s="36"/>
      <c r="C313" s="36"/>
      <c r="D313" s="8"/>
      <c r="E313" s="8"/>
      <c r="F313" s="8"/>
      <c r="G313" s="8"/>
      <c r="H313" s="8"/>
      <c r="I313" s="8"/>
      <c r="J313" s="8"/>
      <c r="K313" s="8"/>
      <c r="L313" s="8"/>
      <c r="M313" s="17"/>
    </row>
    <row r="314" spans="1:13">
      <c r="A314" s="36"/>
      <c r="C314" s="36"/>
      <c r="D314" s="8"/>
      <c r="E314" s="8"/>
      <c r="F314" s="8"/>
      <c r="G314" s="8"/>
      <c r="H314" s="8"/>
      <c r="I314" s="8"/>
      <c r="J314" s="8"/>
      <c r="K314" s="8"/>
      <c r="L314" s="8"/>
      <c r="M314" s="17"/>
    </row>
    <row r="315" spans="1:13">
      <c r="A315" s="36"/>
      <c r="C315" s="36"/>
      <c r="D315" s="8"/>
      <c r="E315" s="8"/>
      <c r="F315" s="8"/>
      <c r="G315" s="8"/>
      <c r="H315" s="8"/>
      <c r="I315" s="8"/>
      <c r="J315" s="8"/>
      <c r="K315" s="8"/>
      <c r="L315" s="8"/>
      <c r="M315" s="17"/>
    </row>
    <row r="316" spans="1:13">
      <c r="A316" s="36"/>
      <c r="C316" s="36"/>
      <c r="D316" s="8"/>
      <c r="E316" s="8"/>
      <c r="F316" s="8"/>
      <c r="G316" s="8"/>
      <c r="H316" s="8"/>
      <c r="I316" s="8"/>
      <c r="J316" s="8"/>
      <c r="K316" s="8"/>
      <c r="L316" s="8"/>
      <c r="M316" s="17"/>
    </row>
    <row r="317" spans="1:13">
      <c r="A317" s="36"/>
      <c r="C317" s="36"/>
      <c r="D317" s="8"/>
      <c r="E317" s="8"/>
      <c r="F317" s="8"/>
      <c r="G317" s="8"/>
      <c r="H317" s="8"/>
      <c r="I317" s="8"/>
      <c r="J317" s="8"/>
      <c r="K317" s="8"/>
      <c r="L317" s="8"/>
      <c r="M317" s="17"/>
    </row>
    <row r="318" spans="1:13">
      <c r="A318" s="36"/>
      <c r="C318" s="36"/>
      <c r="D318" s="8"/>
      <c r="E318" s="8"/>
      <c r="F318" s="8"/>
      <c r="G318" s="8"/>
      <c r="H318" s="8"/>
      <c r="I318" s="8"/>
      <c r="J318" s="8"/>
      <c r="K318" s="8"/>
      <c r="L318" s="8"/>
      <c r="M318" s="17"/>
    </row>
    <row r="319" spans="1:13">
      <c r="A319" s="36"/>
      <c r="C319" s="36"/>
      <c r="D319" s="8"/>
      <c r="E319" s="8"/>
      <c r="F319" s="8"/>
      <c r="G319" s="8"/>
      <c r="H319" s="8"/>
      <c r="I319" s="8"/>
      <c r="J319" s="8"/>
      <c r="K319" s="8"/>
      <c r="L319" s="8"/>
      <c r="M319" s="17"/>
    </row>
    <row r="320" spans="1:13">
      <c r="A320" s="36"/>
      <c r="C320" s="36"/>
      <c r="D320" s="8"/>
      <c r="E320" s="8"/>
      <c r="F320" s="8"/>
      <c r="G320" s="8"/>
      <c r="H320" s="8"/>
      <c r="I320" s="8"/>
      <c r="J320" s="8"/>
      <c r="K320" s="8"/>
      <c r="L320" s="8"/>
      <c r="M320" s="17"/>
    </row>
    <row r="321" spans="1:13">
      <c r="A321" s="36"/>
      <c r="C321" s="36"/>
      <c r="D321" s="8"/>
      <c r="E321" s="8"/>
      <c r="F321" s="8"/>
      <c r="G321" s="8"/>
      <c r="H321" s="8"/>
      <c r="I321" s="8"/>
      <c r="J321" s="8"/>
      <c r="K321" s="8"/>
      <c r="L321" s="8"/>
      <c r="M321" s="17"/>
    </row>
    <row r="322" spans="1:13">
      <c r="A322" s="36"/>
      <c r="C322" s="36"/>
      <c r="D322" s="8"/>
      <c r="E322" s="8"/>
      <c r="F322" s="8"/>
      <c r="G322" s="8"/>
      <c r="H322" s="8"/>
      <c r="I322" s="8"/>
      <c r="J322" s="8"/>
      <c r="K322" s="8"/>
      <c r="L322" s="8"/>
      <c r="M322" s="17"/>
    </row>
    <row r="323" spans="1:13">
      <c r="A323" s="36"/>
      <c r="C323" s="36"/>
      <c r="D323" s="8"/>
      <c r="E323" s="8"/>
      <c r="F323" s="8"/>
      <c r="G323" s="8"/>
      <c r="H323" s="8"/>
      <c r="I323" s="8"/>
      <c r="J323" s="8"/>
      <c r="K323" s="8"/>
      <c r="L323" s="8"/>
      <c r="M323" s="17"/>
    </row>
    <row r="324" spans="1:13">
      <c r="A324" s="36"/>
      <c r="C324" s="36"/>
      <c r="D324" s="8"/>
      <c r="E324" s="8"/>
      <c r="F324" s="8"/>
      <c r="G324" s="8"/>
      <c r="H324" s="8"/>
      <c r="I324" s="8"/>
      <c r="J324" s="8"/>
      <c r="K324" s="8"/>
      <c r="L324" s="8"/>
      <c r="M324" s="17"/>
    </row>
    <row r="325" spans="1:13">
      <c r="A325" s="36"/>
      <c r="C325" s="36"/>
      <c r="D325" s="8"/>
      <c r="E325" s="8"/>
      <c r="F325" s="8"/>
      <c r="G325" s="8"/>
      <c r="H325" s="8"/>
      <c r="I325" s="8"/>
      <c r="J325" s="8"/>
      <c r="K325" s="8"/>
      <c r="L325" s="8"/>
      <c r="M325" s="17"/>
    </row>
    <row r="326" spans="1:13">
      <c r="A326" s="36"/>
      <c r="C326" s="36"/>
      <c r="D326" s="8"/>
      <c r="E326" s="8"/>
      <c r="F326" s="8"/>
      <c r="G326" s="8"/>
      <c r="H326" s="8"/>
      <c r="I326" s="8"/>
      <c r="J326" s="8"/>
      <c r="K326" s="8"/>
      <c r="L326" s="8"/>
      <c r="M326" s="17"/>
    </row>
    <row r="327" spans="1:13">
      <c r="A327" s="36"/>
      <c r="C327" s="36"/>
      <c r="D327" s="8"/>
      <c r="E327" s="8"/>
      <c r="F327" s="8"/>
      <c r="G327" s="8"/>
      <c r="H327" s="8"/>
      <c r="I327" s="8"/>
      <c r="J327" s="8"/>
      <c r="K327" s="8"/>
      <c r="L327" s="8"/>
      <c r="M327" s="17"/>
    </row>
    <row r="328" spans="1:13">
      <c r="A328" s="36"/>
      <c r="C328" s="36"/>
      <c r="D328" s="8"/>
      <c r="E328" s="8"/>
      <c r="F328" s="8"/>
      <c r="G328" s="8"/>
      <c r="H328" s="8"/>
      <c r="I328" s="8"/>
      <c r="J328" s="8"/>
      <c r="K328" s="8"/>
      <c r="L328" s="8"/>
      <c r="M328" s="17"/>
    </row>
    <row r="329" spans="1:13">
      <c r="A329" s="36"/>
      <c r="C329" s="36"/>
      <c r="D329" s="8"/>
      <c r="E329" s="8"/>
      <c r="F329" s="8"/>
      <c r="G329" s="8"/>
      <c r="H329" s="8"/>
      <c r="I329" s="8"/>
      <c r="J329" s="8"/>
      <c r="K329" s="8"/>
      <c r="L329" s="8"/>
      <c r="M329" s="17"/>
    </row>
    <row r="330" spans="1:13">
      <c r="A330" s="36"/>
      <c r="C330" s="36"/>
      <c r="D330" s="8"/>
      <c r="E330" s="8"/>
      <c r="F330" s="8"/>
      <c r="G330" s="8"/>
      <c r="H330" s="8"/>
      <c r="I330" s="8"/>
      <c r="J330" s="8"/>
      <c r="K330" s="8"/>
      <c r="L330" s="8"/>
      <c r="M330" s="17"/>
    </row>
    <row r="331" spans="1:13">
      <c r="A331" s="36"/>
      <c r="C331" s="36"/>
      <c r="D331" s="8"/>
      <c r="E331" s="8"/>
      <c r="F331" s="8"/>
      <c r="G331" s="8"/>
      <c r="H331" s="8"/>
      <c r="I331" s="8"/>
      <c r="J331" s="8"/>
      <c r="K331" s="8"/>
      <c r="L331" s="8"/>
      <c r="M331" s="17"/>
    </row>
    <row r="332" spans="1:13">
      <c r="A332" s="36"/>
      <c r="C332" s="36"/>
      <c r="D332" s="8"/>
      <c r="E332" s="8"/>
      <c r="F332" s="8"/>
      <c r="G332" s="8"/>
      <c r="H332" s="8"/>
      <c r="I332" s="8"/>
      <c r="J332" s="8"/>
      <c r="K332" s="8"/>
      <c r="L332" s="8"/>
      <c r="M332" s="17"/>
    </row>
    <row r="333" spans="1:13">
      <c r="A333" s="36"/>
      <c r="C333" s="36"/>
      <c r="D333" s="8"/>
      <c r="E333" s="8"/>
      <c r="F333" s="8"/>
      <c r="G333" s="8"/>
      <c r="H333" s="8"/>
      <c r="I333" s="8"/>
      <c r="J333" s="8"/>
      <c r="K333" s="8"/>
      <c r="L333" s="8"/>
      <c r="M333" s="17"/>
    </row>
    <row r="334" spans="1:13">
      <c r="A334" s="36"/>
      <c r="C334" s="36"/>
      <c r="D334" s="8"/>
      <c r="E334" s="8"/>
      <c r="F334" s="8"/>
      <c r="G334" s="8"/>
      <c r="H334" s="8"/>
      <c r="I334" s="8"/>
      <c r="J334" s="8"/>
      <c r="K334" s="8"/>
      <c r="L334" s="8"/>
      <c r="M334" s="17"/>
    </row>
    <row r="335" spans="1:13">
      <c r="A335" s="36"/>
      <c r="C335" s="36"/>
      <c r="D335" s="8"/>
      <c r="E335" s="8"/>
      <c r="F335" s="8"/>
      <c r="G335" s="8"/>
      <c r="H335" s="8"/>
      <c r="I335" s="8"/>
      <c r="J335" s="8"/>
      <c r="K335" s="8"/>
      <c r="L335" s="8"/>
      <c r="M335" s="17"/>
    </row>
    <row r="336" spans="1:13">
      <c r="A336" s="36"/>
      <c r="C336" s="36"/>
      <c r="D336" s="8"/>
      <c r="E336" s="8"/>
      <c r="F336" s="8"/>
      <c r="G336" s="8"/>
      <c r="H336" s="8"/>
      <c r="I336" s="8"/>
      <c r="J336" s="8"/>
      <c r="K336" s="8"/>
      <c r="L336" s="8"/>
      <c r="M336" s="17"/>
    </row>
    <row r="337" spans="1:13">
      <c r="A337" s="36"/>
      <c r="C337" s="36"/>
      <c r="D337" s="8"/>
      <c r="E337" s="8"/>
      <c r="F337" s="8"/>
      <c r="G337" s="8"/>
      <c r="H337" s="8"/>
      <c r="I337" s="8"/>
      <c r="J337" s="8"/>
      <c r="K337" s="8"/>
      <c r="L337" s="8"/>
      <c r="M337" s="17"/>
    </row>
    <row r="338" spans="1:13">
      <c r="A338" s="36"/>
      <c r="C338" s="36"/>
      <c r="D338" s="8"/>
      <c r="E338" s="8"/>
      <c r="F338" s="8"/>
      <c r="G338" s="8"/>
      <c r="H338" s="8"/>
      <c r="I338" s="8"/>
      <c r="J338" s="8"/>
      <c r="K338" s="8"/>
      <c r="L338" s="8"/>
      <c r="M338" s="17"/>
    </row>
    <row r="339" spans="1:13">
      <c r="A339" s="36"/>
      <c r="C339" s="36"/>
      <c r="D339" s="8"/>
      <c r="E339" s="8"/>
      <c r="F339" s="8"/>
      <c r="G339" s="8"/>
      <c r="H339" s="8"/>
      <c r="I339" s="8"/>
      <c r="J339" s="8"/>
      <c r="K339" s="8"/>
      <c r="L339" s="8"/>
      <c r="M339" s="17"/>
    </row>
    <row r="340" spans="1:13">
      <c r="A340" s="36"/>
      <c r="C340" s="36"/>
      <c r="D340" s="8"/>
      <c r="E340" s="8"/>
      <c r="F340" s="8"/>
      <c r="G340" s="8"/>
      <c r="H340" s="8"/>
      <c r="I340" s="8"/>
      <c r="J340" s="8"/>
      <c r="K340" s="8"/>
      <c r="L340" s="8"/>
      <c r="M340" s="17"/>
    </row>
    <row r="341" spans="1:13">
      <c r="A341" s="36"/>
      <c r="C341" s="36"/>
      <c r="D341" s="8"/>
      <c r="E341" s="8"/>
      <c r="F341" s="8"/>
      <c r="G341" s="8"/>
      <c r="H341" s="8"/>
      <c r="I341" s="8"/>
      <c r="J341" s="8"/>
      <c r="K341" s="8"/>
      <c r="L341" s="8"/>
      <c r="M341" s="17"/>
    </row>
    <row r="342" spans="1:13">
      <c r="A342" s="36"/>
      <c r="C342" s="36"/>
      <c r="D342" s="8"/>
      <c r="E342" s="8"/>
      <c r="F342" s="8"/>
      <c r="G342" s="8"/>
      <c r="H342" s="8"/>
      <c r="I342" s="8"/>
      <c r="J342" s="8"/>
      <c r="K342" s="8"/>
      <c r="L342" s="8"/>
      <c r="M342" s="17"/>
    </row>
    <row r="343" spans="1:13">
      <c r="A343" s="36"/>
      <c r="C343" s="36"/>
      <c r="D343" s="8"/>
      <c r="E343" s="8"/>
      <c r="F343" s="8"/>
      <c r="G343" s="8"/>
      <c r="H343" s="8"/>
      <c r="I343" s="8"/>
      <c r="J343" s="8"/>
      <c r="K343" s="8"/>
      <c r="L343" s="8"/>
      <c r="M343" s="17"/>
    </row>
    <row r="344" spans="1:13">
      <c r="A344" s="36"/>
      <c r="C344" s="36"/>
      <c r="D344" s="8"/>
      <c r="E344" s="8"/>
      <c r="F344" s="8"/>
      <c r="G344" s="8"/>
      <c r="H344" s="8"/>
      <c r="I344" s="8"/>
      <c r="J344" s="8"/>
      <c r="K344" s="8"/>
      <c r="L344" s="8"/>
      <c r="M344" s="17"/>
    </row>
    <row r="345" spans="1:13">
      <c r="A345" s="36"/>
      <c r="C345" s="36"/>
      <c r="D345" s="8"/>
      <c r="E345" s="8"/>
      <c r="F345" s="8"/>
      <c r="G345" s="8"/>
      <c r="H345" s="8"/>
      <c r="I345" s="8"/>
      <c r="J345" s="8"/>
      <c r="K345" s="8"/>
      <c r="L345" s="8"/>
      <c r="M345" s="17"/>
    </row>
    <row r="346" spans="1:13">
      <c r="A346" s="36"/>
      <c r="C346" s="36"/>
      <c r="D346" s="8"/>
      <c r="E346" s="8"/>
      <c r="F346" s="8"/>
      <c r="G346" s="8"/>
      <c r="H346" s="8"/>
      <c r="I346" s="8"/>
      <c r="J346" s="8"/>
      <c r="K346" s="8"/>
      <c r="L346" s="8"/>
      <c r="M346" s="17"/>
    </row>
    <row r="347" spans="1:13">
      <c r="A347" s="36"/>
      <c r="C347" s="36"/>
      <c r="D347" s="8"/>
      <c r="E347" s="8"/>
      <c r="F347" s="8"/>
      <c r="G347" s="8"/>
      <c r="H347" s="8"/>
      <c r="I347" s="8"/>
      <c r="J347" s="8"/>
      <c r="K347" s="8"/>
      <c r="L347" s="8"/>
      <c r="M347" s="17"/>
    </row>
    <row r="348" spans="1:13">
      <c r="A348" s="36"/>
      <c r="C348" s="36"/>
      <c r="D348" s="8"/>
      <c r="E348" s="8"/>
      <c r="F348" s="8"/>
      <c r="G348" s="8"/>
      <c r="H348" s="8"/>
      <c r="I348" s="8"/>
      <c r="J348" s="8"/>
      <c r="K348" s="8"/>
      <c r="L348" s="8"/>
      <c r="M348" s="17"/>
    </row>
    <row r="349" spans="1:13">
      <c r="A349" s="36"/>
      <c r="C349" s="36"/>
      <c r="D349" s="8"/>
      <c r="E349" s="8"/>
      <c r="F349" s="8"/>
      <c r="G349" s="8"/>
      <c r="H349" s="8"/>
      <c r="I349" s="8"/>
      <c r="J349" s="8"/>
      <c r="K349" s="8"/>
      <c r="L349" s="8"/>
      <c r="M349" s="17"/>
    </row>
    <row r="350" spans="1:13">
      <c r="A350" s="36"/>
      <c r="C350" s="36"/>
      <c r="D350" s="8"/>
      <c r="E350" s="8"/>
      <c r="F350" s="8"/>
      <c r="G350" s="8"/>
      <c r="H350" s="8"/>
      <c r="I350" s="8"/>
      <c r="J350" s="8"/>
      <c r="K350" s="8"/>
      <c r="L350" s="8"/>
      <c r="M350" s="17"/>
    </row>
    <row r="351" spans="1:13">
      <c r="A351" s="36"/>
      <c r="C351" s="36"/>
      <c r="D351" s="8"/>
      <c r="E351" s="8"/>
      <c r="F351" s="8"/>
      <c r="G351" s="8"/>
      <c r="H351" s="8"/>
      <c r="I351" s="8"/>
      <c r="J351" s="8"/>
      <c r="K351" s="8"/>
      <c r="L351" s="8"/>
      <c r="M351" s="17"/>
    </row>
    <row r="352" spans="1:13">
      <c r="A352" s="36"/>
      <c r="C352" s="36"/>
      <c r="D352" s="8"/>
      <c r="E352" s="8"/>
      <c r="F352" s="8"/>
      <c r="G352" s="8"/>
      <c r="H352" s="8"/>
      <c r="I352" s="8"/>
      <c r="J352" s="8"/>
      <c r="K352" s="8"/>
      <c r="L352" s="8"/>
      <c r="M352" s="17"/>
    </row>
    <row r="353" spans="1:13">
      <c r="A353" s="36"/>
      <c r="C353" s="36"/>
      <c r="D353" s="8"/>
      <c r="E353" s="8"/>
      <c r="F353" s="8"/>
      <c r="G353" s="8"/>
      <c r="H353" s="8"/>
      <c r="I353" s="8"/>
      <c r="J353" s="8"/>
      <c r="K353" s="8"/>
      <c r="L353" s="8"/>
      <c r="M353" s="17"/>
    </row>
    <row r="354" spans="1:13">
      <c r="A354" s="36"/>
      <c r="C354" s="36"/>
      <c r="D354" s="8"/>
      <c r="E354" s="8"/>
      <c r="F354" s="8"/>
      <c r="G354" s="8"/>
      <c r="H354" s="8"/>
      <c r="I354" s="8"/>
      <c r="J354" s="8"/>
      <c r="K354" s="8"/>
      <c r="L354" s="8"/>
      <c r="M354" s="17"/>
    </row>
    <row r="355" spans="1:13">
      <c r="A355" s="36"/>
      <c r="C355" s="36"/>
      <c r="D355" s="8"/>
      <c r="E355" s="8"/>
      <c r="F355" s="8"/>
      <c r="G355" s="8"/>
      <c r="H355" s="8"/>
      <c r="I355" s="8"/>
      <c r="J355" s="8"/>
      <c r="K355" s="8"/>
      <c r="L355" s="8"/>
      <c r="M355" s="17"/>
    </row>
    <row r="356" spans="1:13">
      <c r="A356" s="36"/>
      <c r="C356" s="36"/>
      <c r="D356" s="8"/>
      <c r="E356" s="8"/>
      <c r="F356" s="8"/>
      <c r="G356" s="8"/>
      <c r="H356" s="8"/>
      <c r="I356" s="8"/>
      <c r="J356" s="8"/>
      <c r="K356" s="8"/>
      <c r="L356" s="8"/>
      <c r="M356" s="17"/>
    </row>
    <row r="357" spans="1:13">
      <c r="A357" s="36"/>
      <c r="C357" s="36"/>
      <c r="D357" s="8"/>
      <c r="E357" s="8"/>
      <c r="F357" s="8"/>
      <c r="G357" s="8"/>
      <c r="H357" s="8"/>
      <c r="I357" s="8"/>
      <c r="J357" s="8"/>
      <c r="K357" s="8"/>
      <c r="L357" s="8"/>
      <c r="M357" s="17"/>
    </row>
    <row r="358" spans="1:13">
      <c r="A358" s="36"/>
      <c r="C358" s="36"/>
      <c r="D358" s="8"/>
      <c r="E358" s="8"/>
      <c r="F358" s="8"/>
      <c r="G358" s="8"/>
      <c r="H358" s="8"/>
      <c r="I358" s="8"/>
      <c r="J358" s="8"/>
      <c r="K358" s="8"/>
      <c r="L358" s="8"/>
      <c r="M358" s="17"/>
    </row>
    <row r="359" spans="1:13">
      <c r="A359" s="36"/>
      <c r="C359" s="36"/>
      <c r="D359" s="8"/>
      <c r="E359" s="8"/>
      <c r="F359" s="8"/>
      <c r="G359" s="8"/>
      <c r="H359" s="8"/>
      <c r="I359" s="8"/>
      <c r="J359" s="8"/>
      <c r="K359" s="8"/>
      <c r="L359" s="8"/>
      <c r="M359" s="17"/>
    </row>
    <row r="360" spans="1:13">
      <c r="A360" s="36"/>
      <c r="C360" s="36"/>
      <c r="D360" s="8"/>
      <c r="E360" s="8"/>
      <c r="F360" s="8"/>
      <c r="G360" s="8"/>
      <c r="H360" s="8"/>
      <c r="I360" s="8"/>
      <c r="J360" s="8"/>
      <c r="K360" s="8"/>
      <c r="L360" s="8"/>
      <c r="M360" s="17"/>
    </row>
    <row r="361" spans="1:13">
      <c r="A361" s="36"/>
      <c r="C361" s="36"/>
      <c r="D361" s="8"/>
      <c r="E361" s="8"/>
      <c r="F361" s="8"/>
      <c r="G361" s="8"/>
      <c r="H361" s="8"/>
      <c r="I361" s="8"/>
      <c r="J361" s="8"/>
      <c r="K361" s="8"/>
      <c r="L361" s="8"/>
      <c r="M361" s="17"/>
    </row>
    <row r="362" spans="1:13">
      <c r="A362" s="36"/>
      <c r="C362" s="36"/>
      <c r="D362" s="8"/>
      <c r="E362" s="8"/>
      <c r="F362" s="8"/>
      <c r="G362" s="8"/>
      <c r="H362" s="8"/>
      <c r="I362" s="8"/>
      <c r="J362" s="8"/>
      <c r="K362" s="8"/>
      <c r="L362" s="8"/>
      <c r="M362" s="17"/>
    </row>
    <row r="363" spans="1:13">
      <c r="A363" s="36"/>
      <c r="C363" s="36"/>
      <c r="D363" s="8"/>
      <c r="E363" s="8"/>
      <c r="F363" s="8"/>
      <c r="G363" s="8"/>
      <c r="H363" s="8"/>
      <c r="I363" s="8"/>
      <c r="J363" s="8"/>
      <c r="K363" s="8"/>
      <c r="L363" s="8"/>
      <c r="M363" s="17"/>
    </row>
    <row r="364" spans="1:13">
      <c r="A364" s="36"/>
      <c r="C364" s="36"/>
      <c r="D364" s="8"/>
      <c r="E364" s="8"/>
      <c r="F364" s="8"/>
      <c r="G364" s="8"/>
      <c r="H364" s="8"/>
      <c r="I364" s="8"/>
      <c r="J364" s="8"/>
      <c r="K364" s="8"/>
      <c r="L364" s="8"/>
      <c r="M364" s="17"/>
    </row>
    <row r="365" spans="1:13">
      <c r="A365" s="36"/>
      <c r="C365" s="36"/>
      <c r="D365" s="8"/>
      <c r="E365" s="8"/>
      <c r="F365" s="8"/>
      <c r="G365" s="8"/>
      <c r="H365" s="8"/>
      <c r="I365" s="8"/>
      <c r="J365" s="8"/>
      <c r="K365" s="8"/>
      <c r="L365" s="8"/>
      <c r="M365" s="17"/>
    </row>
    <row r="366" spans="1:13">
      <c r="A366" s="36"/>
      <c r="C366" s="36"/>
      <c r="D366" s="8"/>
      <c r="E366" s="8"/>
      <c r="F366" s="8"/>
      <c r="G366" s="8"/>
      <c r="H366" s="8"/>
      <c r="I366" s="8"/>
      <c r="J366" s="8"/>
      <c r="K366" s="8"/>
      <c r="L366" s="8"/>
      <c r="M366" s="17"/>
    </row>
    <row r="367" spans="1:13">
      <c r="A367" s="36"/>
      <c r="C367" s="36"/>
      <c r="D367" s="8"/>
      <c r="E367" s="8"/>
      <c r="F367" s="8"/>
      <c r="G367" s="8"/>
      <c r="H367" s="8"/>
      <c r="I367" s="8"/>
      <c r="J367" s="8"/>
      <c r="K367" s="8"/>
      <c r="L367" s="8"/>
      <c r="M367" s="17"/>
    </row>
    <row r="368" spans="1:13">
      <c r="A368" s="36"/>
      <c r="C368" s="36"/>
      <c r="D368" s="8"/>
      <c r="E368" s="8"/>
      <c r="F368" s="8"/>
      <c r="G368" s="8"/>
      <c r="H368" s="8"/>
      <c r="I368" s="8"/>
      <c r="J368" s="8"/>
      <c r="K368" s="8"/>
      <c r="L368" s="8"/>
      <c r="M368" s="17"/>
    </row>
    <row r="369" spans="1:13">
      <c r="A369" s="36"/>
      <c r="C369" s="36"/>
      <c r="D369" s="8"/>
      <c r="E369" s="8"/>
      <c r="F369" s="8"/>
      <c r="G369" s="8"/>
      <c r="H369" s="8"/>
      <c r="I369" s="8"/>
      <c r="J369" s="8"/>
      <c r="K369" s="8"/>
      <c r="L369" s="8"/>
      <c r="M369" s="17"/>
    </row>
    <row r="370" spans="1:13">
      <c r="A370" s="36"/>
      <c r="C370" s="36"/>
      <c r="D370" s="8"/>
      <c r="E370" s="8"/>
      <c r="F370" s="8"/>
      <c r="G370" s="8"/>
      <c r="H370" s="8"/>
      <c r="I370" s="8"/>
      <c r="J370" s="8"/>
      <c r="K370" s="8"/>
      <c r="L370" s="8"/>
      <c r="M370" s="17"/>
    </row>
    <row r="371" spans="1:13">
      <c r="A371" s="36"/>
      <c r="C371" s="36"/>
      <c r="D371" s="8"/>
      <c r="E371" s="8"/>
      <c r="F371" s="8"/>
      <c r="G371" s="8"/>
      <c r="H371" s="8"/>
      <c r="I371" s="8"/>
      <c r="J371" s="8"/>
      <c r="K371" s="8"/>
      <c r="L371" s="8"/>
      <c r="M371" s="17"/>
    </row>
    <row r="372" spans="1:13">
      <c r="A372" s="36"/>
      <c r="C372" s="36"/>
      <c r="D372" s="8"/>
      <c r="E372" s="8"/>
      <c r="F372" s="8"/>
      <c r="G372" s="8"/>
      <c r="H372" s="8"/>
      <c r="I372" s="8"/>
      <c r="J372" s="8"/>
      <c r="K372" s="8"/>
      <c r="L372" s="8"/>
      <c r="M372" s="17"/>
    </row>
    <row r="373" spans="1:13">
      <c r="A373" s="36"/>
      <c r="C373" s="36"/>
      <c r="D373" s="8"/>
      <c r="E373" s="8"/>
      <c r="F373" s="8"/>
      <c r="G373" s="8"/>
      <c r="H373" s="8"/>
      <c r="I373" s="8"/>
      <c r="J373" s="8"/>
      <c r="K373" s="8"/>
      <c r="L373" s="8"/>
      <c r="M373" s="17"/>
    </row>
    <row r="374" spans="1:13">
      <c r="A374" s="36"/>
      <c r="C374" s="36"/>
      <c r="D374" s="8"/>
      <c r="E374" s="8"/>
      <c r="F374" s="8"/>
      <c r="G374" s="8"/>
      <c r="H374" s="8"/>
      <c r="I374" s="8"/>
      <c r="J374" s="8"/>
      <c r="K374" s="8"/>
      <c r="L374" s="8"/>
      <c r="M374" s="17"/>
    </row>
    <row r="375" spans="1:13">
      <c r="A375" s="36"/>
      <c r="C375" s="36"/>
      <c r="D375" s="8"/>
      <c r="E375" s="8"/>
      <c r="F375" s="8"/>
      <c r="G375" s="8"/>
      <c r="H375" s="8"/>
      <c r="I375" s="8"/>
      <c r="J375" s="8"/>
      <c r="K375" s="8"/>
      <c r="L375" s="8"/>
      <c r="M375" s="17"/>
    </row>
    <row r="376" spans="1:13">
      <c r="A376" s="36"/>
      <c r="C376" s="36"/>
      <c r="D376" s="8"/>
      <c r="E376" s="8"/>
      <c r="F376" s="8"/>
      <c r="G376" s="8"/>
      <c r="H376" s="8"/>
      <c r="I376" s="8"/>
      <c r="J376" s="8"/>
      <c r="K376" s="8"/>
      <c r="L376" s="8"/>
      <c r="M376" s="17"/>
    </row>
    <row r="377" spans="1:13">
      <c r="A377" s="36"/>
      <c r="C377" s="36"/>
      <c r="D377" s="8"/>
      <c r="E377" s="8"/>
      <c r="F377" s="8"/>
      <c r="G377" s="8"/>
      <c r="H377" s="8"/>
      <c r="I377" s="8"/>
      <c r="J377" s="8"/>
      <c r="K377" s="8"/>
      <c r="L377" s="8"/>
      <c r="M377" s="17"/>
    </row>
    <row r="378" spans="1:13">
      <c r="A378" s="36"/>
      <c r="C378" s="36"/>
      <c r="D378" s="8"/>
      <c r="E378" s="8"/>
      <c r="F378" s="8"/>
      <c r="G378" s="8"/>
      <c r="H378" s="8"/>
      <c r="I378" s="8"/>
      <c r="J378" s="8"/>
      <c r="K378" s="8"/>
      <c r="L378" s="8"/>
      <c r="M378" s="17"/>
    </row>
    <row r="379" spans="1:13">
      <c r="A379" s="36"/>
      <c r="C379" s="36"/>
      <c r="D379" s="8"/>
      <c r="E379" s="8"/>
      <c r="F379" s="8"/>
      <c r="G379" s="8"/>
      <c r="H379" s="8"/>
      <c r="I379" s="8"/>
      <c r="J379" s="8"/>
      <c r="K379" s="8"/>
      <c r="L379" s="8"/>
      <c r="M379" s="17"/>
    </row>
    <row r="380" spans="1:13">
      <c r="A380" s="36"/>
      <c r="C380" s="36"/>
      <c r="D380" s="8"/>
      <c r="E380" s="8"/>
      <c r="F380" s="8"/>
      <c r="G380" s="8"/>
      <c r="H380" s="8"/>
      <c r="I380" s="8"/>
      <c r="J380" s="8"/>
      <c r="K380" s="8"/>
      <c r="L380" s="8"/>
      <c r="M380" s="17"/>
    </row>
    <row r="381" spans="1:13">
      <c r="A381" s="36"/>
      <c r="C381" s="36"/>
      <c r="D381" s="8"/>
      <c r="E381" s="8"/>
      <c r="F381" s="8"/>
      <c r="G381" s="8"/>
      <c r="H381" s="8"/>
      <c r="I381" s="8"/>
      <c r="J381" s="8"/>
      <c r="K381" s="8"/>
      <c r="L381" s="8"/>
      <c r="M381" s="17"/>
    </row>
    <row r="382" spans="1:13">
      <c r="A382" s="36"/>
      <c r="C382" s="36"/>
      <c r="D382" s="8"/>
      <c r="E382" s="8"/>
      <c r="F382" s="8"/>
      <c r="G382" s="8"/>
      <c r="H382" s="8"/>
      <c r="I382" s="8"/>
      <c r="J382" s="8"/>
      <c r="K382" s="8"/>
      <c r="L382" s="8"/>
      <c r="M382" s="17"/>
    </row>
    <row r="383" spans="1:13">
      <c r="A383" s="36"/>
      <c r="C383" s="36"/>
      <c r="D383" s="8"/>
      <c r="E383" s="8"/>
      <c r="F383" s="8"/>
      <c r="G383" s="8"/>
      <c r="H383" s="8"/>
      <c r="I383" s="8"/>
      <c r="J383" s="8"/>
      <c r="K383" s="8"/>
      <c r="L383" s="8"/>
      <c r="M383" s="17"/>
    </row>
    <row r="384" spans="1:13">
      <c r="A384" s="36"/>
      <c r="C384" s="36"/>
      <c r="D384" s="8"/>
      <c r="E384" s="8"/>
      <c r="F384" s="8"/>
      <c r="G384" s="8"/>
      <c r="H384" s="8"/>
      <c r="I384" s="8"/>
      <c r="J384" s="8"/>
      <c r="K384" s="8"/>
      <c r="L384" s="8"/>
      <c r="M384" s="17"/>
    </row>
    <row r="385" spans="1:13">
      <c r="A385" s="36"/>
      <c r="C385" s="36"/>
      <c r="D385" s="8"/>
      <c r="E385" s="8"/>
      <c r="F385" s="8"/>
      <c r="G385" s="8"/>
      <c r="H385" s="8"/>
      <c r="I385" s="8"/>
      <c r="J385" s="8"/>
      <c r="K385" s="8"/>
      <c r="L385" s="8"/>
      <c r="M385" s="17"/>
    </row>
    <row r="386" spans="1:13">
      <c r="A386" s="36"/>
      <c r="C386" s="36"/>
      <c r="D386" s="8"/>
      <c r="E386" s="8"/>
      <c r="F386" s="8"/>
      <c r="G386" s="8"/>
      <c r="H386" s="8"/>
      <c r="I386" s="8"/>
      <c r="J386" s="8"/>
      <c r="K386" s="8"/>
      <c r="L386" s="8"/>
      <c r="M386" s="17"/>
    </row>
    <row r="387" spans="1:13">
      <c r="A387" s="36"/>
      <c r="C387" s="36"/>
      <c r="D387" s="8"/>
      <c r="E387" s="8"/>
      <c r="F387" s="8"/>
      <c r="G387" s="8"/>
      <c r="H387" s="8"/>
      <c r="I387" s="8"/>
      <c r="J387" s="8"/>
      <c r="K387" s="8"/>
      <c r="L387" s="8"/>
      <c r="M387" s="17"/>
    </row>
    <row r="388" spans="1:13">
      <c r="A388" s="36"/>
      <c r="C388" s="36"/>
      <c r="D388" s="8"/>
      <c r="E388" s="8"/>
      <c r="F388" s="8"/>
      <c r="G388" s="8"/>
      <c r="H388" s="8"/>
      <c r="I388" s="8"/>
      <c r="J388" s="8"/>
      <c r="K388" s="8"/>
      <c r="L388" s="8"/>
      <c r="M388" s="17"/>
    </row>
    <row r="389" spans="1:13">
      <c r="A389" s="36"/>
      <c r="C389" s="36"/>
      <c r="D389" s="8"/>
      <c r="E389" s="8"/>
      <c r="F389" s="8"/>
      <c r="G389" s="8"/>
      <c r="H389" s="8"/>
      <c r="I389" s="8"/>
      <c r="J389" s="8"/>
      <c r="K389" s="8"/>
      <c r="L389" s="8"/>
      <c r="M389" s="17"/>
    </row>
    <row r="390" spans="1:13">
      <c r="A390" s="36"/>
      <c r="C390" s="36"/>
      <c r="D390" s="8"/>
      <c r="E390" s="8"/>
      <c r="F390" s="8"/>
      <c r="G390" s="8"/>
      <c r="H390" s="8"/>
      <c r="I390" s="8"/>
      <c r="J390" s="8"/>
      <c r="K390" s="8"/>
      <c r="L390" s="8"/>
      <c r="M390" s="17"/>
    </row>
    <row r="391" spans="1:13">
      <c r="A391" s="36"/>
      <c r="C391" s="36"/>
      <c r="D391" s="8"/>
      <c r="E391" s="8"/>
      <c r="F391" s="8"/>
      <c r="G391" s="8"/>
      <c r="H391" s="8"/>
      <c r="I391" s="8"/>
      <c r="J391" s="8"/>
      <c r="K391" s="8"/>
      <c r="L391" s="8"/>
      <c r="M391" s="17"/>
    </row>
    <row r="392" spans="1:13">
      <c r="A392" s="36"/>
      <c r="C392" s="36"/>
      <c r="D392" s="8"/>
      <c r="E392" s="8"/>
      <c r="F392" s="8"/>
      <c r="G392" s="8"/>
      <c r="H392" s="8"/>
      <c r="I392" s="8"/>
      <c r="J392" s="8"/>
      <c r="K392" s="8"/>
      <c r="L392" s="8"/>
      <c r="M392" s="17"/>
    </row>
    <row r="393" spans="1:13">
      <c r="A393" s="36"/>
      <c r="C393" s="36"/>
      <c r="D393" s="8"/>
      <c r="E393" s="8"/>
      <c r="F393" s="8"/>
      <c r="G393" s="8"/>
      <c r="H393" s="8"/>
      <c r="I393" s="8"/>
      <c r="J393" s="8"/>
      <c r="K393" s="8"/>
      <c r="L393" s="8"/>
      <c r="M393" s="17"/>
    </row>
    <row r="394" spans="1:13">
      <c r="A394" s="36"/>
      <c r="C394" s="36"/>
      <c r="D394" s="8"/>
      <c r="E394" s="8"/>
      <c r="F394" s="8"/>
      <c r="G394" s="8"/>
      <c r="H394" s="8"/>
      <c r="I394" s="8"/>
      <c r="J394" s="8"/>
      <c r="K394" s="8"/>
      <c r="L394" s="8"/>
      <c r="M394" s="17"/>
    </row>
    <row r="395" spans="1:13">
      <c r="A395" s="36"/>
      <c r="C395" s="36"/>
      <c r="D395" s="8"/>
      <c r="E395" s="8"/>
      <c r="F395" s="8"/>
      <c r="G395" s="8"/>
      <c r="H395" s="8"/>
      <c r="I395" s="8"/>
      <c r="J395" s="8"/>
      <c r="K395" s="8"/>
      <c r="L395" s="8"/>
      <c r="M395" s="17"/>
    </row>
    <row r="396" spans="1:13">
      <c r="A396" s="36"/>
      <c r="C396" s="36"/>
      <c r="D396" s="8"/>
      <c r="E396" s="8"/>
      <c r="F396" s="8"/>
      <c r="G396" s="8"/>
      <c r="H396" s="8"/>
      <c r="I396" s="8"/>
      <c r="J396" s="8"/>
      <c r="K396" s="8"/>
      <c r="L396" s="8"/>
      <c r="M396" s="17"/>
    </row>
    <row r="397" spans="1:13">
      <c r="A397" s="36"/>
      <c r="C397" s="36"/>
      <c r="D397" s="8"/>
      <c r="E397" s="8"/>
      <c r="F397" s="8"/>
      <c r="G397" s="8"/>
      <c r="H397" s="8"/>
      <c r="I397" s="8"/>
      <c r="J397" s="8"/>
      <c r="K397" s="8"/>
      <c r="L397" s="8"/>
      <c r="M397" s="17"/>
    </row>
    <row r="398" spans="1:13">
      <c r="A398" s="36"/>
      <c r="C398" s="36"/>
      <c r="D398" s="8"/>
      <c r="E398" s="8"/>
      <c r="F398" s="8"/>
      <c r="G398" s="8"/>
      <c r="H398" s="8"/>
      <c r="I398" s="8"/>
      <c r="J398" s="8"/>
      <c r="K398" s="8"/>
      <c r="L398" s="8"/>
      <c r="M398" s="17"/>
    </row>
    <row r="399" spans="1:13">
      <c r="A399" s="36"/>
      <c r="C399" s="36"/>
      <c r="D399" s="8"/>
      <c r="E399" s="8"/>
      <c r="F399" s="8"/>
      <c r="G399" s="8"/>
      <c r="H399" s="8"/>
      <c r="I399" s="8"/>
      <c r="J399" s="8"/>
      <c r="K399" s="8"/>
      <c r="L399" s="8"/>
      <c r="M399" s="17"/>
    </row>
    <row r="400" spans="1:13">
      <c r="A400" s="36"/>
      <c r="C400" s="36"/>
      <c r="D400" s="8"/>
      <c r="E400" s="8"/>
      <c r="F400" s="8"/>
      <c r="G400" s="8"/>
      <c r="H400" s="8"/>
      <c r="I400" s="8"/>
      <c r="J400" s="8"/>
      <c r="K400" s="8"/>
      <c r="L400" s="8"/>
      <c r="M400" s="17"/>
    </row>
    <row r="401" spans="1:13">
      <c r="A401" s="36"/>
      <c r="C401" s="36"/>
      <c r="D401" s="8"/>
      <c r="E401" s="8"/>
      <c r="F401" s="8"/>
      <c r="G401" s="8"/>
      <c r="H401" s="8"/>
      <c r="I401" s="8"/>
      <c r="J401" s="8"/>
      <c r="K401" s="8"/>
      <c r="L401" s="8"/>
      <c r="M401" s="17"/>
    </row>
    <row r="402" spans="1:13">
      <c r="A402" s="36"/>
      <c r="C402" s="36"/>
      <c r="D402" s="8"/>
      <c r="E402" s="8"/>
      <c r="F402" s="8"/>
      <c r="G402" s="8"/>
      <c r="H402" s="8"/>
      <c r="I402" s="8"/>
      <c r="J402" s="8"/>
      <c r="K402" s="8"/>
      <c r="L402" s="8"/>
      <c r="M402" s="17"/>
    </row>
  </sheetData>
  <hyperlinks>
    <hyperlink ref="C245" r:id="rId1" display="https://plants.sc.egov.usda.gov/java/profile?symbol=RHCO" xr:uid="{1FB1A57A-5CB1-4327-AEDF-C4F977C7CFB8}"/>
  </hyperlinks>
  <pageMargins left="0.7" right="0.7" top="0.75" bottom="0.75" header="0.3" footer="0.3"/>
  <pageSetup paperSize="5" orientation="landscape"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373B5-82D6-4223-AB9E-73C70E026F4A}">
  <sheetPr codeName="Sheet6"/>
  <dimension ref="A1:AB3"/>
  <sheetViews>
    <sheetView workbookViewId="0">
      <selection activeCell="B2" sqref="B2"/>
    </sheetView>
  </sheetViews>
  <sheetFormatPr defaultColWidth="9.296875" defaultRowHeight="13"/>
  <cols>
    <col min="1" max="1" width="9.296875" style="77"/>
    <col min="2" max="2" width="10.796875" style="77" customWidth="1"/>
    <col min="3" max="3" width="10.296875" style="77" customWidth="1"/>
    <col min="4" max="4" width="17.296875" style="77" customWidth="1"/>
    <col min="5" max="5" width="12.19921875" style="77" customWidth="1"/>
    <col min="6" max="6" width="18.5" style="78" customWidth="1"/>
    <col min="7" max="7" width="10" style="79" customWidth="1"/>
    <col min="8" max="8" width="17.796875" style="77" customWidth="1"/>
    <col min="9" max="9" width="15.5" style="77" customWidth="1"/>
    <col min="10" max="10" width="18.69921875" style="77" customWidth="1"/>
    <col min="11" max="11" width="18.296875" style="77" customWidth="1"/>
    <col min="12" max="12" width="18.5" style="77" customWidth="1"/>
    <col min="13" max="13" width="11.5" style="77" customWidth="1"/>
    <col min="14" max="14" width="7.796875" style="77" customWidth="1"/>
    <col min="15" max="15" width="24.19921875" style="77" customWidth="1"/>
    <col min="16" max="16" width="14" style="77" customWidth="1"/>
    <col min="17" max="17" width="14.296875" style="77" customWidth="1"/>
    <col min="18" max="18" width="11.796875" style="77" customWidth="1"/>
    <col min="19" max="19" width="12" style="77" customWidth="1"/>
    <col min="20" max="20" width="11.796875" style="77" customWidth="1"/>
    <col min="21" max="21" width="11.5" style="77" customWidth="1"/>
    <col min="22" max="22" width="12.19921875" style="77" customWidth="1"/>
    <col min="23" max="23" width="12" style="77" customWidth="1"/>
    <col min="24" max="24" width="12.296875" style="77" customWidth="1"/>
    <col min="25" max="25" width="14.19921875" style="77" customWidth="1"/>
    <col min="26" max="26" width="116.296875" style="77" customWidth="1"/>
    <col min="27" max="51" width="14.19921875" style="77" customWidth="1"/>
    <col min="52" max="16384" width="9.296875" style="77"/>
  </cols>
  <sheetData>
    <row r="1" spans="1:28" ht="29">
      <c r="A1" s="48" t="s">
        <v>695</v>
      </c>
      <c r="B1" s="48" t="s">
        <v>1255</v>
      </c>
      <c r="C1" s="48" t="s">
        <v>669</v>
      </c>
      <c r="D1" s="48" t="s">
        <v>1246</v>
      </c>
      <c r="E1" s="48" t="s">
        <v>671</v>
      </c>
      <c r="F1" s="75" t="s">
        <v>670</v>
      </c>
      <c r="G1" s="76" t="s">
        <v>683</v>
      </c>
      <c r="H1" s="48" t="s">
        <v>689</v>
      </c>
      <c r="I1" s="48" t="s">
        <v>690</v>
      </c>
      <c r="J1" s="48" t="s">
        <v>691</v>
      </c>
      <c r="K1" s="48" t="s">
        <v>692</v>
      </c>
      <c r="L1" s="48" t="s">
        <v>693</v>
      </c>
      <c r="M1" s="49" t="s">
        <v>694</v>
      </c>
      <c r="N1" s="49" t="s">
        <v>688</v>
      </c>
      <c r="O1" s="48" t="s">
        <v>684</v>
      </c>
      <c r="P1" s="48" t="s">
        <v>685</v>
      </c>
      <c r="Q1" s="48" t="s">
        <v>667</v>
      </c>
      <c r="R1" s="49" t="s">
        <v>697</v>
      </c>
      <c r="S1" s="49" t="s">
        <v>698</v>
      </c>
      <c r="T1" s="46" t="s">
        <v>699</v>
      </c>
      <c r="U1" s="46" t="s">
        <v>700</v>
      </c>
      <c r="V1" s="46" t="s">
        <v>701</v>
      </c>
      <c r="W1" s="49" t="s">
        <v>712</v>
      </c>
      <c r="X1" s="49" t="s">
        <v>957</v>
      </c>
      <c r="Y1" s="49" t="s">
        <v>48</v>
      </c>
      <c r="Z1" s="49" t="s">
        <v>958</v>
      </c>
    </row>
    <row r="2" spans="1:28" ht="30" customHeight="1">
      <c r="A2" s="77">
        <f t="shared" ref="A2" si="0">ROW()-2</f>
        <v>0</v>
      </c>
      <c r="B2" s="77" t="str">
        <f>IF(Form!$C$7="","",Form!$C$7)</f>
        <v>TIM</v>
      </c>
      <c r="C2" s="77" t="str">
        <f>IF(Form!$C$8="","",Form!$C$8)</f>
        <v>tim/Tucson</v>
      </c>
      <c r="D2" s="77" t="str">
        <f>IF(Form!$C$9="","",Form!$C$9)</f>
        <v>Newport</v>
      </c>
      <c r="E2" s="77" t="str">
        <f>IF(Form!$C$10="","",Form!$C$10)</f>
        <v>Pasture</v>
      </c>
      <c r="F2" s="78">
        <f ca="1">IF(Form!$J$8="","",Form!$J$7)</f>
        <v>45804</v>
      </c>
      <c r="G2" s="79">
        <f>IF(Form!$J$8="","",Form!$J$8)</f>
        <v>15.3</v>
      </c>
      <c r="H2" s="46">
        <f>IF(Form!$H$9="","",Form!$H$9)</f>
        <v>342</v>
      </c>
      <c r="I2" s="46" t="str">
        <f>IF(Form!$H$10="","",Form!$H$10)</f>
        <v>siteA</v>
      </c>
      <c r="J2" s="46" t="str">
        <f>IF(CheckListOuput="","",CheckListOuput)</f>
        <v>Goats,Horses</v>
      </c>
      <c r="K2" s="46" t="str">
        <f>IF(Form!$J$8="","",Form!$E$15)</f>
        <v>Normal</v>
      </c>
      <c r="L2" s="46" t="str">
        <f>IF(Form!$J$8="","",Form!$I$15)</f>
        <v>Normal</v>
      </c>
      <c r="M2" s="46">
        <f>IF(Form!$J$8="","",Form!$C$19)</f>
        <v>400</v>
      </c>
      <c r="N2" s="46" t="str">
        <f>IF(Form!$J$8="","",IF(Form!$I$18="Yes","Yes",IF(Form!$K$18="No", "No")))</f>
        <v>No</v>
      </c>
      <c r="O2" s="46" t="str">
        <f>IF(Form!$D$21="","",Form!$D$21)</f>
        <v>Timothy</v>
      </c>
      <c r="P2" s="46" t="str">
        <f>IF(Form!$I$20="","",Form!$I$20)</f>
        <v>Residue or Litter</v>
      </c>
      <c r="Q2" s="46" t="str">
        <f>IF(Form!$I$21="","",Form!$I$21)</f>
        <v>Dead Material</v>
      </c>
      <c r="R2" s="46" t="str">
        <f>IF(Form!$D$21="","",VLOOKUP(Table1[[#This Row],[Record Step Sample]],Form_Reference!A$3:L$1000,6,FALSE))</f>
        <v>CSGrass</v>
      </c>
      <c r="S2" s="46" t="str">
        <f>IF(Form!$D$21="","",VLOOKUP(Table1[[#This Row],[Record Step Sample]],Form_Reference!$A$3:$L$1000,8,FALSE))</f>
        <v>Desirable</v>
      </c>
      <c r="T2" s="46" t="str">
        <f>IF(Form!$D$21="","",VLOOKUP(Table1[[#This Row],[Record Step Sample]],Form_Reference!$A$3:$L$1000,9,FALSE))</f>
        <v>Desirable</v>
      </c>
      <c r="U2" s="46" t="str">
        <f>IF(Form!$D$21="","",VLOOKUP(Table1[[#This Row],[Record Step Sample]],Form_Reference!$A$3:$L$1000,10,FALSE))</f>
        <v>Desirable</v>
      </c>
      <c r="V2" s="46" t="str">
        <f>IF(Form!$D$21="","",VLOOKUP(Table1[[#This Row],[Record Step Sample]],Form_Reference!$A$3:$L$1000,11,FALSE))</f>
        <v>Desirable</v>
      </c>
      <c r="W2" s="46" t="str">
        <f>IF(Form!$D$21="","",VLOOKUP(Table1[[#This Row],[Record Step Sample]],Form_Reference!$A$3:$L$1000,6,FALSE))</f>
        <v>CSGrass</v>
      </c>
      <c r="X2" s="46" t="str">
        <f>IF(Form!$D$21="","",VLOOKUP(Table1[[#This Row],[Record Step Sample]],Form_Reference!$A$3:$L$1000,5,FALSE))</f>
        <v>Perennial</v>
      </c>
      <c r="Y2" s="46" t="str">
        <f>IF(Form!$D$21="","",VLOOKUP(Table1[[#This Row],[Record Step Sample]],Form_Reference!$A$3:$L$1000,7,FALSE))</f>
        <v>Introduced</v>
      </c>
      <c r="Z2" s="46" t="str">
        <f ca="1">IF(Form!$D$21="","",_xlfn.TEXTJOIN("; ",TRUE,_xlfn.UNIQUE((OFFSET(Form_Data!$O$1,1,0,COUNTA(Form_Data!$O:$O),1)))))</f>
        <v>Timothy</v>
      </c>
      <c r="AB2" s="237"/>
    </row>
    <row r="3" spans="1:28" ht="14.5">
      <c r="A3" s="77">
        <f>ROW()-2</f>
        <v>1</v>
      </c>
      <c r="B3" s="77" t="s">
        <v>956</v>
      </c>
      <c r="C3" s="77" t="s">
        <v>956</v>
      </c>
      <c r="D3" s="77" t="s">
        <v>956</v>
      </c>
      <c r="E3" s="77" t="s">
        <v>956</v>
      </c>
      <c r="F3" s="78" t="s">
        <v>956</v>
      </c>
      <c r="G3" s="79" t="s">
        <v>956</v>
      </c>
      <c r="H3" s="46" t="s">
        <v>956</v>
      </c>
      <c r="I3" s="46" t="s">
        <v>956</v>
      </c>
      <c r="J3" s="46" t="s">
        <v>956</v>
      </c>
      <c r="K3" s="46" t="s">
        <v>956</v>
      </c>
      <c r="L3" s="46" t="s">
        <v>956</v>
      </c>
      <c r="M3" s="46" t="s">
        <v>956</v>
      </c>
      <c r="N3" s="46" t="s">
        <v>956</v>
      </c>
      <c r="O3" s="46" t="s">
        <v>956</v>
      </c>
      <c r="P3" s="46" t="s">
        <v>956</v>
      </c>
      <c r="Q3" s="46" t="s">
        <v>956</v>
      </c>
      <c r="R3" s="46" t="s">
        <v>956</v>
      </c>
      <c r="S3" s="46" t="s">
        <v>956</v>
      </c>
      <c r="T3" s="46" t="s">
        <v>956</v>
      </c>
      <c r="U3" s="46" t="s">
        <v>956</v>
      </c>
      <c r="V3" s="46" t="s">
        <v>956</v>
      </c>
      <c r="W3" s="46" t="s">
        <v>956</v>
      </c>
      <c r="X3" s="46" t="s">
        <v>956</v>
      </c>
      <c r="Y3" s="46" t="s">
        <v>956</v>
      </c>
      <c r="Z3" s="46" t="s">
        <v>956</v>
      </c>
    </row>
  </sheetData>
  <phoneticPr fontId="67"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49BC6763-5215-4CC4-B821-0529564E13DC}">
  <ds:schemaRefs/>
</ds:datastoreItem>
</file>

<file path=customXml/itemProps2.xml><?xml version="1.0" encoding="utf-8"?>
<ds:datastoreItem xmlns:ds="http://schemas.openxmlformats.org/officeDocument/2006/customXml" ds:itemID="{1F450DE3-2B25-4199-8C72-8AA46E533C6D}">
  <ds:schemaRefs/>
</ds:datastoreItem>
</file>

<file path=customXml/itemProps3.xml><?xml version="1.0" encoding="utf-8"?>
<ds:datastoreItem xmlns:ds="http://schemas.openxmlformats.org/officeDocument/2006/customXml" ds:itemID="{738FD189-16D0-4237-8617-31EC49FD9D6D}">
  <ds:schemaRefs/>
</ds:datastoreItem>
</file>

<file path=customXml/itemProps4.xml><?xml version="1.0" encoding="utf-8"?>
<ds:datastoreItem xmlns:ds="http://schemas.openxmlformats.org/officeDocument/2006/customXml" ds:itemID="{109C9FE8-74B8-41A6-90A9-DEE7D6F617B4}">
  <ds:schemaRefs/>
</ds:datastoreItem>
</file>

<file path=customXml/itemProps5.xml><?xml version="1.0" encoding="utf-8"?>
<ds:datastoreItem xmlns:ds="http://schemas.openxmlformats.org/officeDocument/2006/customXml" ds:itemID="{FB84DB87-5E48-4193-B533-CF2489A56D1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Instructions</vt:lpstr>
      <vt:lpstr>Form</vt:lpstr>
      <vt:lpstr>PCSS</vt:lpstr>
      <vt:lpstr>PCS</vt:lpstr>
      <vt:lpstr>PCS_Report</vt:lpstr>
      <vt:lpstr>Form_Reference</vt:lpstr>
      <vt:lpstr>Form_Data</vt:lpstr>
      <vt:lpstr>CheckListOuput</vt:lpstr>
      <vt:lpstr>CheckListOutput</vt:lpstr>
      <vt:lpstr>Form!Print_Area</vt:lpstr>
      <vt:lpstr>PCS!Print_Area</vt:lpstr>
      <vt:lpstr>PCS_Report!Print_Area</vt:lpstr>
      <vt:lpstr>PCSS!Print_Area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Boettger, Eric - FPAC-NRCS, RI</dc:creator>
  <cp:keywords/>
  <dc:description/>
  <cp:lastModifiedBy>Timothy Gilbert (US)</cp:lastModifiedBy>
  <cp:revision/>
  <cp:lastPrinted>2025-05-01T17:17:30Z</cp:lastPrinted>
  <dcterms:created xsi:type="dcterms:W3CDTF">2017-01-03T16:04:08Z</dcterms:created>
  <dcterms:modified xsi:type="dcterms:W3CDTF">2025-05-27T16:18:52Z</dcterms:modified>
  <cp:category/>
  <cp:contentStatus/>
</cp:coreProperties>
</file>